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mc:AlternateContent xmlns:mc="http://schemas.openxmlformats.org/markup-compatibility/2006">
    <mc:Choice Requires="x15">
      <x15ac:absPath xmlns:x15ac="http://schemas.microsoft.com/office/spreadsheetml/2010/11/ac" url="C:\Users\admin\Desktop\Affina\Metabase\ingest\"/>
    </mc:Choice>
  </mc:AlternateContent>
  <xr:revisionPtr revIDLastSave="0" documentId="13_ncr:1_{21BB99EB-B725-497F-8373-F729676A2BC4}" xr6:coauthVersionLast="47" xr6:coauthVersionMax="47" xr10:uidLastSave="{00000000-0000-0000-0000-000000000000}"/>
  <bookViews>
    <workbookView xWindow="-108" yWindow="-108" windowWidth="23256" windowHeight="12456" xr2:uid="{00000000-000D-0000-FFFF-FFFF00000000}"/>
  </bookViews>
  <sheets>
    <sheet name="Main" sheetId="1" r:id="rId1"/>
    <sheet name="Dev" sheetId="2" r:id="rId2"/>
  </sheets>
  <definedNames>
    <definedName name="_xlnm._FilterDatabase" localSheetId="0" hidden="1">Main!$A$1:$Z$189</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F3" i="1" l="1"/>
  <c r="AF4" i="1"/>
  <c r="AF5" i="1"/>
  <c r="AF6" i="1"/>
  <c r="AH6" i="1" s="1"/>
  <c r="AF7" i="1"/>
  <c r="AF8" i="1"/>
  <c r="AF9" i="1"/>
  <c r="AH9" i="1" s="1"/>
  <c r="AF10" i="1"/>
  <c r="AF11" i="1"/>
  <c r="AH11" i="1" s="1"/>
  <c r="AF12" i="1"/>
  <c r="AH12" i="1" s="1"/>
  <c r="AF13" i="1"/>
  <c r="AH13" i="1" s="1"/>
  <c r="AF14" i="1"/>
  <c r="AF15" i="1"/>
  <c r="AF16" i="1"/>
  <c r="AF17" i="1"/>
  <c r="AF18" i="1"/>
  <c r="AH18" i="1" s="1"/>
  <c r="AF19" i="1"/>
  <c r="AF20" i="1"/>
  <c r="AF21" i="1"/>
  <c r="AH21" i="1" s="1"/>
  <c r="AF22" i="1"/>
  <c r="AF23" i="1"/>
  <c r="AH23" i="1" s="1"/>
  <c r="AF24" i="1"/>
  <c r="AH24" i="1" s="1"/>
  <c r="AF25" i="1"/>
  <c r="AH25" i="1" s="1"/>
  <c r="AF26" i="1"/>
  <c r="AF27" i="1"/>
  <c r="AF28" i="1"/>
  <c r="AF29" i="1"/>
  <c r="AF30" i="1"/>
  <c r="AH30" i="1" s="1"/>
  <c r="AF31" i="1"/>
  <c r="AF32" i="1"/>
  <c r="AF33" i="1"/>
  <c r="AH33" i="1" s="1"/>
  <c r="AF34" i="1"/>
  <c r="AF35" i="1"/>
  <c r="AH35" i="1" s="1"/>
  <c r="AF36" i="1"/>
  <c r="AH36" i="1" s="1"/>
  <c r="AF37" i="1"/>
  <c r="AH37" i="1" s="1"/>
  <c r="AF38" i="1"/>
  <c r="AF39" i="1"/>
  <c r="AF40" i="1"/>
  <c r="AF41" i="1"/>
  <c r="AF42" i="1"/>
  <c r="AH42" i="1" s="1"/>
  <c r="AF43" i="1"/>
  <c r="AF44" i="1"/>
  <c r="AF45" i="1"/>
  <c r="AH45" i="1" s="1"/>
  <c r="AF46" i="1"/>
  <c r="AF47" i="1"/>
  <c r="AH47" i="1" s="1"/>
  <c r="AF48" i="1"/>
  <c r="AH48" i="1" s="1"/>
  <c r="AF49" i="1"/>
  <c r="AH49" i="1" s="1"/>
  <c r="AF50" i="1"/>
  <c r="AF51" i="1"/>
  <c r="AF52" i="1"/>
  <c r="AF53" i="1"/>
  <c r="AF54" i="1"/>
  <c r="AH54" i="1" s="1"/>
  <c r="AF55" i="1"/>
  <c r="AF56" i="1"/>
  <c r="AF57" i="1"/>
  <c r="AH57" i="1" s="1"/>
  <c r="AF58" i="1"/>
  <c r="AF59" i="1"/>
  <c r="AH59" i="1" s="1"/>
  <c r="AF60" i="1"/>
  <c r="AH60" i="1" s="1"/>
  <c r="AF61" i="1"/>
  <c r="AH61" i="1" s="1"/>
  <c r="AF62" i="1"/>
  <c r="AF63" i="1"/>
  <c r="AF64" i="1"/>
  <c r="AF65" i="1"/>
  <c r="AF66" i="1"/>
  <c r="AH66" i="1" s="1"/>
  <c r="AF67" i="1"/>
  <c r="AF68" i="1"/>
  <c r="AF69" i="1"/>
  <c r="AH69" i="1" s="1"/>
  <c r="AF70" i="1"/>
  <c r="AF71" i="1"/>
  <c r="AH71" i="1" s="1"/>
  <c r="AF72" i="1"/>
  <c r="AH72" i="1" s="1"/>
  <c r="AF73" i="1"/>
  <c r="AH73" i="1" s="1"/>
  <c r="AF74" i="1"/>
  <c r="AF75" i="1"/>
  <c r="AH75" i="1" s="1"/>
  <c r="AF76" i="1"/>
  <c r="AF77" i="1"/>
  <c r="AF78" i="1"/>
  <c r="AH78" i="1" s="1"/>
  <c r="AF79" i="1"/>
  <c r="AF80" i="1"/>
  <c r="AF81" i="1"/>
  <c r="AH81" i="1" s="1"/>
  <c r="AF82" i="1"/>
  <c r="AF83" i="1"/>
  <c r="AH83" i="1" s="1"/>
  <c r="AF84" i="1"/>
  <c r="AH84" i="1" s="1"/>
  <c r="AF85" i="1"/>
  <c r="AH85" i="1" s="1"/>
  <c r="AF86" i="1"/>
  <c r="AF87" i="1"/>
  <c r="AF88" i="1"/>
  <c r="AF89" i="1"/>
  <c r="AF90" i="1"/>
  <c r="AH90" i="1" s="1"/>
  <c r="AF91" i="1"/>
  <c r="AF92" i="1"/>
  <c r="AF93" i="1"/>
  <c r="AH93" i="1" s="1"/>
  <c r="AF94" i="1"/>
  <c r="AF95" i="1"/>
  <c r="AH95" i="1" s="1"/>
  <c r="AF96" i="1"/>
  <c r="AH96" i="1" s="1"/>
  <c r="AF97" i="1"/>
  <c r="AH97" i="1" s="1"/>
  <c r="AF98" i="1"/>
  <c r="AF99" i="1"/>
  <c r="AF100" i="1"/>
  <c r="AF101" i="1"/>
  <c r="AF102" i="1"/>
  <c r="AH102" i="1" s="1"/>
  <c r="AF103" i="1"/>
  <c r="AF104" i="1"/>
  <c r="AF105" i="1"/>
  <c r="AH105" i="1" s="1"/>
  <c r="AF106" i="1"/>
  <c r="AF107" i="1"/>
  <c r="AH107" i="1" s="1"/>
  <c r="AF108" i="1"/>
  <c r="AH108" i="1" s="1"/>
  <c r="AF109" i="1"/>
  <c r="AH109" i="1" s="1"/>
  <c r="AF110" i="1"/>
  <c r="AF111" i="1"/>
  <c r="AF112" i="1"/>
  <c r="AF113" i="1"/>
  <c r="AF114" i="1"/>
  <c r="AH114" i="1" s="1"/>
  <c r="AF115" i="1"/>
  <c r="AF116" i="1"/>
  <c r="AF117" i="1"/>
  <c r="AH117" i="1" s="1"/>
  <c r="AF118" i="1"/>
  <c r="AF119" i="1"/>
  <c r="AH119" i="1" s="1"/>
  <c r="AF120" i="1"/>
  <c r="AH120" i="1" s="1"/>
  <c r="AF121" i="1"/>
  <c r="AH121" i="1" s="1"/>
  <c r="AF122" i="1"/>
  <c r="AF123" i="1"/>
  <c r="AF124" i="1"/>
  <c r="AF125" i="1"/>
  <c r="AF126" i="1"/>
  <c r="AH126" i="1" s="1"/>
  <c r="AF127" i="1"/>
  <c r="AF128" i="1"/>
  <c r="AF129" i="1"/>
  <c r="AH129" i="1" s="1"/>
  <c r="AF130" i="1"/>
  <c r="AF131" i="1"/>
  <c r="AH131" i="1" s="1"/>
  <c r="AF132" i="1"/>
  <c r="AH132" i="1" s="1"/>
  <c r="AF133" i="1"/>
  <c r="AH133" i="1" s="1"/>
  <c r="AF134" i="1"/>
  <c r="AF135" i="1"/>
  <c r="AF136" i="1"/>
  <c r="AF137" i="1"/>
  <c r="AF138" i="1"/>
  <c r="AH138" i="1" s="1"/>
  <c r="AF139" i="1"/>
  <c r="AF140" i="1"/>
  <c r="AF141" i="1"/>
  <c r="AH141" i="1" s="1"/>
  <c r="AF142" i="1"/>
  <c r="AF143" i="1"/>
  <c r="AH143" i="1" s="1"/>
  <c r="AF144" i="1"/>
  <c r="AH144" i="1" s="1"/>
  <c r="AF145" i="1"/>
  <c r="AH145" i="1" s="1"/>
  <c r="AF146" i="1"/>
  <c r="AF147" i="1"/>
  <c r="AF148" i="1"/>
  <c r="AF149" i="1"/>
  <c r="AF150" i="1"/>
  <c r="AH150" i="1" s="1"/>
  <c r="AF151" i="1"/>
  <c r="AF152" i="1"/>
  <c r="AF153" i="1"/>
  <c r="AH153" i="1" s="1"/>
  <c r="AF154" i="1"/>
  <c r="AF155" i="1"/>
  <c r="AH155" i="1" s="1"/>
  <c r="AF156" i="1"/>
  <c r="AH156" i="1" s="1"/>
  <c r="AF157" i="1"/>
  <c r="AH157" i="1" s="1"/>
  <c r="AF158" i="1"/>
  <c r="AF159" i="1"/>
  <c r="AH159" i="1" s="1"/>
  <c r="AF160" i="1"/>
  <c r="AF161" i="1"/>
  <c r="AF162" i="1"/>
  <c r="AH162" i="1" s="1"/>
  <c r="AF163" i="1"/>
  <c r="AF164" i="1"/>
  <c r="AF165" i="1"/>
  <c r="AH165" i="1" s="1"/>
  <c r="AF166" i="1"/>
  <c r="AF167" i="1"/>
  <c r="AH167" i="1" s="1"/>
  <c r="AF168" i="1"/>
  <c r="AH168" i="1" s="1"/>
  <c r="AF169" i="1"/>
  <c r="AH169" i="1" s="1"/>
  <c r="AF170" i="1"/>
  <c r="AF171" i="1"/>
  <c r="AH171" i="1" s="1"/>
  <c r="AF172" i="1"/>
  <c r="AF173" i="1"/>
  <c r="AF174" i="1"/>
  <c r="AH174" i="1" s="1"/>
  <c r="AF175" i="1"/>
  <c r="AF176" i="1"/>
  <c r="AF177" i="1"/>
  <c r="AH177" i="1" s="1"/>
  <c r="AF178" i="1"/>
  <c r="AF179" i="1"/>
  <c r="AH179" i="1" s="1"/>
  <c r="AF180" i="1"/>
  <c r="AH180" i="1" s="1"/>
  <c r="AF181" i="1"/>
  <c r="AH181" i="1" s="1"/>
  <c r="AF182" i="1"/>
  <c r="AF183" i="1"/>
  <c r="AH183" i="1" s="1"/>
  <c r="AF184" i="1"/>
  <c r="AF185" i="1"/>
  <c r="AF186" i="1"/>
  <c r="AH186" i="1" s="1"/>
  <c r="AF187" i="1"/>
  <c r="AF188" i="1"/>
  <c r="AF189" i="1"/>
  <c r="AH189" i="1" s="1"/>
  <c r="AF2" i="1"/>
  <c r="AH2" i="1" s="1"/>
  <c r="AH3" i="1"/>
  <c r="AH4" i="1"/>
  <c r="AH5" i="1"/>
  <c r="AH7" i="1"/>
  <c r="AH8" i="1"/>
  <c r="AH10" i="1"/>
  <c r="AH14" i="1"/>
  <c r="AH15" i="1"/>
  <c r="AH16" i="1"/>
  <c r="AH17" i="1"/>
  <c r="AH19" i="1"/>
  <c r="AH20" i="1"/>
  <c r="AH22" i="1"/>
  <c r="AH26" i="1"/>
  <c r="AH27" i="1"/>
  <c r="AH28" i="1"/>
  <c r="AH29" i="1"/>
  <c r="AH31" i="1"/>
  <c r="AH32" i="1"/>
  <c r="AH34" i="1"/>
  <c r="AH38" i="1"/>
  <c r="AH39" i="1"/>
  <c r="AH40" i="1"/>
  <c r="AH41" i="1"/>
  <c r="AH43" i="1"/>
  <c r="AH44" i="1"/>
  <c r="AH46" i="1"/>
  <c r="AH50" i="1"/>
  <c r="AH51" i="1"/>
  <c r="AH52" i="1"/>
  <c r="AH53" i="1"/>
  <c r="AH55" i="1"/>
  <c r="AH56" i="1"/>
  <c r="AH58" i="1"/>
  <c r="AH62" i="1"/>
  <c r="AH63" i="1"/>
  <c r="AH64" i="1"/>
  <c r="AH65" i="1"/>
  <c r="AH67" i="1"/>
  <c r="AH68" i="1"/>
  <c r="AH70" i="1"/>
  <c r="AH74" i="1"/>
  <c r="AH76" i="1"/>
  <c r="AH77" i="1"/>
  <c r="AH79" i="1"/>
  <c r="AH80" i="1"/>
  <c r="AH82" i="1"/>
  <c r="AH86" i="1"/>
  <c r="AH87" i="1"/>
  <c r="AH88" i="1"/>
  <c r="AH89" i="1"/>
  <c r="AH91" i="1"/>
  <c r="AH92" i="1"/>
  <c r="AH94" i="1"/>
  <c r="AH98" i="1"/>
  <c r="AH99" i="1"/>
  <c r="AH100" i="1"/>
  <c r="AH101" i="1"/>
  <c r="AH103" i="1"/>
  <c r="AH104" i="1"/>
  <c r="AH106" i="1"/>
  <c r="AH110" i="1"/>
  <c r="AH111" i="1"/>
  <c r="AH112" i="1"/>
  <c r="AH113" i="1"/>
  <c r="AH115" i="1"/>
  <c r="AH116" i="1"/>
  <c r="AH118" i="1"/>
  <c r="AH122" i="1"/>
  <c r="AH123" i="1"/>
  <c r="AH124" i="1"/>
  <c r="AH125" i="1"/>
  <c r="AH127" i="1"/>
  <c r="AH128" i="1"/>
  <c r="AH130" i="1"/>
  <c r="AH134" i="1"/>
  <c r="AH135" i="1"/>
  <c r="AH136" i="1"/>
  <c r="AH137" i="1"/>
  <c r="AH139" i="1"/>
  <c r="AH140" i="1"/>
  <c r="AH142" i="1"/>
  <c r="AH146" i="1"/>
  <c r="AH147" i="1"/>
  <c r="AH148" i="1"/>
  <c r="AH149" i="1"/>
  <c r="AH151" i="1"/>
  <c r="AH152" i="1"/>
  <c r="AH154" i="1"/>
  <c r="AH158" i="1"/>
  <c r="AH160" i="1"/>
  <c r="AH161" i="1"/>
  <c r="AH163" i="1"/>
  <c r="AH164" i="1"/>
  <c r="AH166" i="1"/>
  <c r="AH170" i="1"/>
  <c r="AH172" i="1"/>
  <c r="AH173" i="1"/>
  <c r="AH175" i="1"/>
  <c r="AH176" i="1"/>
  <c r="AH178" i="1"/>
  <c r="AH182" i="1"/>
  <c r="AH184" i="1"/>
  <c r="AH185" i="1"/>
  <c r="AH187" i="1"/>
  <c r="AH188" i="1"/>
  <c r="AG3" i="1"/>
  <c r="AG4" i="1"/>
  <c r="AG5" i="1"/>
  <c r="AG6" i="1"/>
  <c r="AG7" i="1"/>
  <c r="AG8" i="1"/>
  <c r="AG9" i="1"/>
  <c r="AG10" i="1"/>
  <c r="AG11" i="1"/>
  <c r="AG12" i="1"/>
  <c r="AG13" i="1"/>
  <c r="AG14" i="1"/>
  <c r="AG15" i="1"/>
  <c r="AG16" i="1"/>
  <c r="AG17" i="1"/>
  <c r="AG18" i="1"/>
  <c r="AG19" i="1"/>
  <c r="AG20" i="1"/>
  <c r="AG21" i="1"/>
  <c r="AG22" i="1"/>
  <c r="AG23" i="1"/>
  <c r="AG24" i="1"/>
  <c r="AG25" i="1"/>
  <c r="AG26" i="1"/>
  <c r="AG27" i="1"/>
  <c r="AG28" i="1"/>
  <c r="AG29" i="1"/>
  <c r="AG30" i="1"/>
  <c r="AG31" i="1"/>
  <c r="AG32" i="1"/>
  <c r="AG33" i="1"/>
  <c r="AG34" i="1"/>
  <c r="AG35" i="1"/>
  <c r="AG36" i="1"/>
  <c r="AG37" i="1"/>
  <c r="AG38" i="1"/>
  <c r="AG39" i="1"/>
  <c r="AG40" i="1"/>
  <c r="AG41" i="1"/>
  <c r="AG42" i="1"/>
  <c r="AG43" i="1"/>
  <c r="AG44" i="1"/>
  <c r="AG45" i="1"/>
  <c r="AG46" i="1"/>
  <c r="AG47" i="1"/>
  <c r="AG48" i="1"/>
  <c r="AG49" i="1"/>
  <c r="AG50" i="1"/>
  <c r="AG51" i="1"/>
  <c r="AG52" i="1"/>
  <c r="AG53" i="1"/>
  <c r="AG54" i="1"/>
  <c r="AG55" i="1"/>
  <c r="AG56" i="1"/>
  <c r="AG57" i="1"/>
  <c r="AG58" i="1"/>
  <c r="AG59" i="1"/>
  <c r="AG60" i="1"/>
  <c r="AG61" i="1"/>
  <c r="AG62" i="1"/>
  <c r="AG63" i="1"/>
  <c r="AG64" i="1"/>
  <c r="AG65" i="1"/>
  <c r="AG66" i="1"/>
  <c r="AG67" i="1"/>
  <c r="AG68" i="1"/>
  <c r="AG69" i="1"/>
  <c r="AG70" i="1"/>
  <c r="AG71" i="1"/>
  <c r="AG72" i="1"/>
  <c r="AG73" i="1"/>
  <c r="AG74" i="1"/>
  <c r="AG75" i="1"/>
  <c r="AG76" i="1"/>
  <c r="AG77" i="1"/>
  <c r="AG78" i="1"/>
  <c r="AG79" i="1"/>
  <c r="AG80" i="1"/>
  <c r="AG81" i="1"/>
  <c r="AG82" i="1"/>
  <c r="AG83" i="1"/>
  <c r="AG84" i="1"/>
  <c r="AG85" i="1"/>
  <c r="AG86" i="1"/>
  <c r="AG87" i="1"/>
  <c r="AG88" i="1"/>
  <c r="AG89" i="1"/>
  <c r="AG90" i="1"/>
  <c r="AG91" i="1"/>
  <c r="AG92" i="1"/>
  <c r="AG93" i="1"/>
  <c r="AG94" i="1"/>
  <c r="AG95" i="1"/>
  <c r="AG96" i="1"/>
  <c r="AG97" i="1"/>
  <c r="AG98" i="1"/>
  <c r="AG99" i="1"/>
  <c r="AG100" i="1"/>
  <c r="AG101" i="1"/>
  <c r="AG102" i="1"/>
  <c r="AG103" i="1"/>
  <c r="AG104" i="1"/>
  <c r="AG105" i="1"/>
  <c r="AG106" i="1"/>
  <c r="AG107" i="1"/>
  <c r="AG108" i="1"/>
  <c r="AG109" i="1"/>
  <c r="AG110" i="1"/>
  <c r="AG111" i="1"/>
  <c r="AG112" i="1"/>
  <c r="AG113" i="1"/>
  <c r="AG114" i="1"/>
  <c r="AG115" i="1"/>
  <c r="AG116" i="1"/>
  <c r="AG117" i="1"/>
  <c r="AG118" i="1"/>
  <c r="AG119" i="1"/>
  <c r="AG120" i="1"/>
  <c r="AG121" i="1"/>
  <c r="AG122" i="1"/>
  <c r="AG123" i="1"/>
  <c r="AG124" i="1"/>
  <c r="AG125" i="1"/>
  <c r="AG126" i="1"/>
  <c r="AG127" i="1"/>
  <c r="AG128" i="1"/>
  <c r="AG129" i="1"/>
  <c r="AG130" i="1"/>
  <c r="AG131" i="1"/>
  <c r="AG132" i="1"/>
  <c r="AG133" i="1"/>
  <c r="AG134" i="1"/>
  <c r="AG135" i="1"/>
  <c r="AG136" i="1"/>
  <c r="AG137" i="1"/>
  <c r="AG138" i="1"/>
  <c r="AG139" i="1"/>
  <c r="AG140" i="1"/>
  <c r="AG141" i="1"/>
  <c r="AG142" i="1"/>
  <c r="AG143" i="1"/>
  <c r="AG144" i="1"/>
  <c r="AG145" i="1"/>
  <c r="AG146" i="1"/>
  <c r="AG147" i="1"/>
  <c r="AG148" i="1"/>
  <c r="AG149" i="1"/>
  <c r="AG150" i="1"/>
  <c r="AG151" i="1"/>
  <c r="AG152" i="1"/>
  <c r="AG153" i="1"/>
  <c r="AG154" i="1"/>
  <c r="AG155" i="1"/>
  <c r="AG156" i="1"/>
  <c r="AG157" i="1"/>
  <c r="AG158" i="1"/>
  <c r="AG159" i="1"/>
  <c r="AG160" i="1"/>
  <c r="AG161" i="1"/>
  <c r="AG162" i="1"/>
  <c r="AG163" i="1"/>
  <c r="AG164" i="1"/>
  <c r="AG165" i="1"/>
  <c r="AG166" i="1"/>
  <c r="AG167" i="1"/>
  <c r="AG168" i="1"/>
  <c r="AG169" i="1"/>
  <c r="AG170" i="1"/>
  <c r="AG171" i="1"/>
  <c r="AG172" i="1"/>
  <c r="AG173" i="1"/>
  <c r="AG174" i="1"/>
  <c r="AG175" i="1"/>
  <c r="AG176" i="1"/>
  <c r="AG177" i="1"/>
  <c r="AG178" i="1"/>
  <c r="AG179" i="1"/>
  <c r="AG180" i="1"/>
  <c r="AG181" i="1"/>
  <c r="AG182" i="1"/>
  <c r="AG183" i="1"/>
  <c r="AG184" i="1"/>
  <c r="AG185" i="1"/>
  <c r="AG186" i="1"/>
  <c r="AG187" i="1"/>
  <c r="AG188" i="1"/>
  <c r="AG189" i="1"/>
  <c r="AG2" i="1"/>
  <c r="AD189" i="1"/>
  <c r="AD188" i="1"/>
  <c r="AD187" i="1"/>
  <c r="AD186" i="1"/>
  <c r="AD185" i="1"/>
  <c r="AD184" i="1"/>
  <c r="AD183" i="1"/>
  <c r="AD182" i="1"/>
  <c r="AD181" i="1"/>
  <c r="AD180" i="1"/>
  <c r="AD179" i="1"/>
  <c r="AD178" i="1"/>
  <c r="AD177" i="1"/>
  <c r="AD176" i="1"/>
  <c r="AD175" i="1"/>
  <c r="AD174" i="1"/>
  <c r="AD173" i="1"/>
  <c r="AD172" i="1"/>
  <c r="AD171" i="1"/>
  <c r="AD170" i="1"/>
  <c r="AD169" i="1"/>
  <c r="AD168" i="1"/>
  <c r="AD167" i="1"/>
  <c r="AD166" i="1"/>
  <c r="AD165" i="1"/>
  <c r="AD164" i="1"/>
  <c r="AD163" i="1"/>
  <c r="AD162" i="1"/>
  <c r="AD161" i="1"/>
  <c r="AD160" i="1"/>
  <c r="AD159" i="1"/>
  <c r="AD158" i="1"/>
  <c r="AD157" i="1"/>
  <c r="AD156" i="1"/>
  <c r="AD155" i="1"/>
  <c r="AD154" i="1"/>
  <c r="AD153" i="1"/>
  <c r="AD152" i="1"/>
  <c r="AD151" i="1"/>
  <c r="AD150" i="1"/>
  <c r="AD149" i="1"/>
  <c r="AD148" i="1"/>
  <c r="AD147" i="1"/>
  <c r="AD146" i="1"/>
  <c r="AD145" i="1"/>
  <c r="AD144" i="1"/>
  <c r="AD143" i="1"/>
  <c r="AD142" i="1"/>
  <c r="AD141" i="1"/>
  <c r="AD140" i="1"/>
  <c r="AD139" i="1"/>
  <c r="AD138" i="1"/>
  <c r="AD137" i="1"/>
  <c r="AD136" i="1"/>
  <c r="AD135" i="1"/>
  <c r="AD134" i="1"/>
  <c r="AD133" i="1"/>
  <c r="AD132" i="1"/>
  <c r="AD131" i="1"/>
  <c r="AD130" i="1"/>
  <c r="AD129" i="1"/>
  <c r="AD128" i="1"/>
  <c r="AD127" i="1"/>
  <c r="AD126" i="1"/>
  <c r="AD125" i="1"/>
  <c r="AD124" i="1"/>
  <c r="AD123" i="1"/>
  <c r="AD122" i="1"/>
  <c r="AD121" i="1"/>
  <c r="AD120" i="1"/>
  <c r="AD119" i="1"/>
  <c r="AD118" i="1"/>
  <c r="AD117" i="1"/>
  <c r="AD116" i="1"/>
  <c r="AD115" i="1"/>
  <c r="AD114" i="1"/>
  <c r="AD113" i="1"/>
  <c r="AD112" i="1"/>
  <c r="AD111" i="1"/>
  <c r="AD110" i="1"/>
  <c r="AD109" i="1"/>
  <c r="AD108" i="1"/>
  <c r="AD107" i="1"/>
  <c r="AD106" i="1"/>
  <c r="AD105" i="1"/>
  <c r="AD104" i="1"/>
  <c r="AD103" i="1"/>
  <c r="AD102" i="1"/>
  <c r="AD101" i="1"/>
  <c r="AD100" i="1"/>
  <c r="AD99" i="1"/>
  <c r="AD98" i="1"/>
  <c r="AD97" i="1"/>
  <c r="AD96" i="1"/>
  <c r="AD95" i="1"/>
  <c r="AD94" i="1"/>
  <c r="AD93" i="1"/>
  <c r="AD92" i="1"/>
  <c r="AD91" i="1"/>
  <c r="AD90" i="1"/>
  <c r="AD89" i="1"/>
  <c r="AD88" i="1"/>
  <c r="AD87" i="1"/>
  <c r="AD86" i="1"/>
  <c r="AD85" i="1"/>
  <c r="AD84" i="1"/>
  <c r="AD83" i="1"/>
  <c r="AD82" i="1"/>
  <c r="AD81" i="1"/>
  <c r="AD80" i="1"/>
  <c r="AD79" i="1"/>
  <c r="AD78" i="1"/>
  <c r="AD77" i="1"/>
  <c r="AD76" i="1"/>
  <c r="AD75" i="1"/>
  <c r="AD74" i="1"/>
  <c r="AD73" i="1"/>
  <c r="AD72" i="1"/>
  <c r="AD71" i="1"/>
  <c r="AD70" i="1"/>
  <c r="AD69" i="1"/>
  <c r="AD68" i="1"/>
  <c r="AD67" i="1"/>
  <c r="AD66" i="1"/>
  <c r="AD65" i="1"/>
  <c r="AD64" i="1"/>
  <c r="AD63" i="1"/>
  <c r="AD62" i="1"/>
  <c r="AD61" i="1"/>
  <c r="AD60" i="1"/>
  <c r="AD59" i="1"/>
  <c r="AD58" i="1"/>
  <c r="AD57" i="1"/>
  <c r="AD56" i="1"/>
  <c r="AD55" i="1"/>
  <c r="AD54" i="1"/>
  <c r="AD53" i="1"/>
  <c r="AD52" i="1"/>
  <c r="AD51" i="1"/>
  <c r="AD50" i="1"/>
  <c r="AD49" i="1"/>
  <c r="AD48" i="1"/>
  <c r="AD47" i="1"/>
  <c r="AD46" i="1"/>
  <c r="AD45" i="1"/>
  <c r="AD44" i="1"/>
  <c r="AD43" i="1"/>
  <c r="AD42" i="1"/>
  <c r="AD41" i="1"/>
  <c r="AD40" i="1"/>
  <c r="AD39" i="1"/>
  <c r="AD38" i="1"/>
  <c r="AD37" i="1"/>
  <c r="AD36" i="1"/>
  <c r="AD35" i="1"/>
  <c r="AD34" i="1"/>
  <c r="AD33" i="1"/>
  <c r="AD32" i="1"/>
  <c r="AD31" i="1"/>
  <c r="AD30" i="1"/>
  <c r="AD29" i="1"/>
  <c r="AD28" i="1"/>
  <c r="AD27" i="1"/>
  <c r="AD26" i="1"/>
  <c r="AD25" i="1"/>
  <c r="AD24" i="1"/>
  <c r="AD23" i="1"/>
  <c r="AD22" i="1"/>
  <c r="AD21" i="1"/>
  <c r="AD20" i="1"/>
  <c r="AD19" i="1"/>
  <c r="AD18" i="1"/>
  <c r="AD17" i="1"/>
  <c r="AD16" i="1"/>
  <c r="AD15" i="1"/>
  <c r="AD14" i="1"/>
  <c r="AD13" i="1"/>
  <c r="AD12" i="1"/>
  <c r="AD11" i="1"/>
  <c r="AD10" i="1"/>
  <c r="AD9" i="1"/>
  <c r="AD8" i="1"/>
  <c r="AD7" i="1"/>
  <c r="AD6" i="1"/>
  <c r="AD5" i="1"/>
  <c r="AD4" i="1"/>
  <c r="AD3" i="1"/>
  <c r="AD2" i="1"/>
  <c r="AC3" i="1" a="1"/>
  <c r="AC3" i="1"/>
  <c r="AC4" i="1" a="1"/>
  <c r="AC4" i="1" s="1"/>
  <c r="AC5" i="1" a="1"/>
  <c r="AC5" i="1" s="1"/>
  <c r="AC6" i="1" a="1"/>
  <c r="AC6" i="1"/>
  <c r="AC7" i="1" a="1"/>
  <c r="AC7" i="1" s="1"/>
  <c r="AC8" i="1" a="1"/>
  <c r="AC8" i="1"/>
  <c r="AC9" i="1" a="1"/>
  <c r="AC9" i="1"/>
  <c r="AC10" i="1" a="1"/>
  <c r="AC10" i="1" s="1"/>
  <c r="AC11" i="1" a="1"/>
  <c r="AC11" i="1" s="1"/>
  <c r="AC12" i="1" a="1"/>
  <c r="AC12" i="1"/>
  <c r="AC13" i="1" a="1"/>
  <c r="AC13" i="1" s="1"/>
  <c r="AC14" i="1" a="1"/>
  <c r="AC14" i="1"/>
  <c r="AC15" i="1" a="1"/>
  <c r="AC15" i="1"/>
  <c r="AC16" i="1" a="1"/>
  <c r="AC16" i="1" s="1"/>
  <c r="AC17" i="1" a="1"/>
  <c r="AC17" i="1" s="1"/>
  <c r="AC18" i="1" a="1"/>
  <c r="AC18" i="1"/>
  <c r="AC19" i="1" a="1"/>
  <c r="AC19" i="1" s="1"/>
  <c r="AC20" i="1" a="1"/>
  <c r="AC20" i="1"/>
  <c r="AC21" i="1" a="1"/>
  <c r="AC21" i="1" s="1"/>
  <c r="AC22" i="1" a="1"/>
  <c r="AC22" i="1" s="1"/>
  <c r="AC23" i="1" a="1"/>
  <c r="AC23" i="1" s="1"/>
  <c r="AC24" i="1" a="1"/>
  <c r="AC24" i="1"/>
  <c r="AC25" i="1" a="1"/>
  <c r="AC25" i="1" s="1"/>
  <c r="AC26" i="1" a="1"/>
  <c r="AC26" i="1"/>
  <c r="AC27" i="1" a="1"/>
  <c r="AC27" i="1" s="1"/>
  <c r="AC28" i="1" a="1"/>
  <c r="AC28" i="1" s="1"/>
  <c r="AC29" i="1" a="1"/>
  <c r="AC29" i="1" s="1"/>
  <c r="AC30" i="1" a="1"/>
  <c r="AC30" i="1"/>
  <c r="AC31" i="1" a="1"/>
  <c r="AC31" i="1" s="1"/>
  <c r="AC32" i="1" a="1"/>
  <c r="AC32" i="1"/>
  <c r="AC33" i="1" a="1"/>
  <c r="AC33" i="1" s="1"/>
  <c r="AC34" i="1" a="1"/>
  <c r="AC34" i="1" s="1"/>
  <c r="AC35" i="1" a="1"/>
  <c r="AC35" i="1" s="1"/>
  <c r="AC36" i="1" a="1"/>
  <c r="AC36" i="1"/>
  <c r="AC37" i="1" a="1"/>
  <c r="AC37" i="1" s="1"/>
  <c r="AC38" i="1" a="1"/>
  <c r="AC38" i="1"/>
  <c r="AC39" i="1" a="1"/>
  <c r="AC39" i="1" s="1"/>
  <c r="AC40" i="1" a="1"/>
  <c r="AC40" i="1" s="1"/>
  <c r="AC41" i="1" a="1"/>
  <c r="AC41" i="1" s="1"/>
  <c r="AC42" i="1" a="1"/>
  <c r="AC42" i="1"/>
  <c r="AC43" i="1" a="1"/>
  <c r="AC43" i="1" s="1"/>
  <c r="AC44" i="1" a="1"/>
  <c r="AC44" i="1"/>
  <c r="AC45" i="1" a="1"/>
  <c r="AC45" i="1" s="1"/>
  <c r="AC46" i="1" a="1"/>
  <c r="AC46" i="1" s="1"/>
  <c r="AC47" i="1" a="1"/>
  <c r="AC47" i="1" s="1"/>
  <c r="AC48" i="1" a="1"/>
  <c r="AC48" i="1"/>
  <c r="AC49" i="1" a="1"/>
  <c r="AC49" i="1" s="1"/>
  <c r="AC50" i="1" a="1"/>
  <c r="AC50" i="1"/>
  <c r="AC51" i="1" a="1"/>
  <c r="AC51" i="1" s="1"/>
  <c r="AC52" i="1" a="1"/>
  <c r="AC52" i="1" s="1"/>
  <c r="AC53" i="1" a="1"/>
  <c r="AC53" i="1" s="1"/>
  <c r="AC54" i="1" a="1"/>
  <c r="AC54" i="1"/>
  <c r="AC55" i="1" a="1"/>
  <c r="AC55" i="1" s="1"/>
  <c r="AC56" i="1" a="1"/>
  <c r="AC56" i="1"/>
  <c r="AC57" i="1" a="1"/>
  <c r="AC57" i="1" s="1"/>
  <c r="AC58" i="1" a="1"/>
  <c r="AC58" i="1" s="1"/>
  <c r="AC59" i="1" a="1"/>
  <c r="AC59" i="1" s="1"/>
  <c r="AC60" i="1" a="1"/>
  <c r="AC60" i="1"/>
  <c r="AC61" i="1" a="1"/>
  <c r="AC61" i="1" s="1"/>
  <c r="AC62" i="1" a="1"/>
  <c r="AC62" i="1"/>
  <c r="AC63" i="1" a="1"/>
  <c r="AC63" i="1" s="1"/>
  <c r="AC64" i="1" a="1"/>
  <c r="AC64" i="1" s="1"/>
  <c r="AC65" i="1" a="1"/>
  <c r="AC65" i="1" s="1"/>
  <c r="AC66" i="1" a="1"/>
  <c r="AC66" i="1"/>
  <c r="AC67" i="1" a="1"/>
  <c r="AC67" i="1" s="1"/>
  <c r="AC68" i="1" a="1"/>
  <c r="AC68" i="1"/>
  <c r="AC69" i="1" a="1"/>
  <c r="AC69" i="1" s="1"/>
  <c r="AC70" i="1" a="1"/>
  <c r="AC70" i="1" s="1"/>
  <c r="AC71" i="1" a="1"/>
  <c r="AC71" i="1" s="1"/>
  <c r="AC72" i="1" a="1"/>
  <c r="AC72" i="1"/>
  <c r="AC73" i="1" a="1"/>
  <c r="AC73" i="1" s="1"/>
  <c r="AC74" i="1" a="1"/>
  <c r="AC74" i="1"/>
  <c r="AC75" i="1" a="1"/>
  <c r="AC75" i="1" s="1"/>
  <c r="AC76" i="1" a="1"/>
  <c r="AC76" i="1" s="1"/>
  <c r="AC77" i="1" a="1"/>
  <c r="AC77" i="1" s="1"/>
  <c r="AC78" i="1" a="1"/>
  <c r="AC78" i="1"/>
  <c r="AC79" i="1" a="1"/>
  <c r="AC79" i="1" s="1"/>
  <c r="AC80" i="1" a="1"/>
  <c r="AC80" i="1"/>
  <c r="AC81" i="1" a="1"/>
  <c r="AC81" i="1" s="1"/>
  <c r="AC82" i="1" a="1"/>
  <c r="AC82" i="1" s="1"/>
  <c r="AC83" i="1" a="1"/>
  <c r="AC83" i="1" s="1"/>
  <c r="AC84" i="1" a="1"/>
  <c r="AC84" i="1"/>
  <c r="AC85" i="1" a="1"/>
  <c r="AC85" i="1" s="1"/>
  <c r="AC86" i="1" a="1"/>
  <c r="AC86" i="1"/>
  <c r="AC87" i="1" a="1"/>
  <c r="AC87" i="1" s="1"/>
  <c r="AC88" i="1" a="1"/>
  <c r="AC88" i="1" s="1"/>
  <c r="AC89" i="1" a="1"/>
  <c r="AC89" i="1" s="1"/>
  <c r="AC90" i="1" a="1"/>
  <c r="AC90" i="1"/>
  <c r="AC91" i="1" a="1"/>
  <c r="AC91" i="1" s="1"/>
  <c r="AC92" i="1" a="1"/>
  <c r="AC92" i="1"/>
  <c r="AC93" i="1" a="1"/>
  <c r="AC93" i="1" s="1"/>
  <c r="AC94" i="1" a="1"/>
  <c r="AC94" i="1" s="1"/>
  <c r="AC95" i="1" a="1"/>
  <c r="AC95" i="1" s="1"/>
  <c r="AC96" i="1" a="1"/>
  <c r="AC96" i="1"/>
  <c r="AC97" i="1" a="1"/>
  <c r="AC97" i="1" s="1"/>
  <c r="AC98" i="1" a="1"/>
  <c r="AC98" i="1"/>
  <c r="AC99" i="1" a="1"/>
  <c r="AC99" i="1" s="1"/>
  <c r="AC100" i="1" a="1"/>
  <c r="AC100" i="1" s="1"/>
  <c r="AC101" i="1" a="1"/>
  <c r="AC101" i="1" s="1"/>
  <c r="AC102" i="1" a="1"/>
  <c r="AC102" i="1"/>
  <c r="AC103" i="1" a="1"/>
  <c r="AC103" i="1" s="1"/>
  <c r="AC104" i="1" a="1"/>
  <c r="AC104" i="1"/>
  <c r="AC105" i="1" a="1"/>
  <c r="AC105" i="1" s="1"/>
  <c r="AC106" i="1" a="1"/>
  <c r="AC106" i="1" s="1"/>
  <c r="AC107" i="1" a="1"/>
  <c r="AC107" i="1" s="1"/>
  <c r="AC108" i="1" a="1"/>
  <c r="AC108" i="1"/>
  <c r="AC109" i="1" a="1"/>
  <c r="AC109" i="1" s="1"/>
  <c r="AC110" i="1" a="1"/>
  <c r="AC110" i="1"/>
  <c r="AC111" i="1" a="1"/>
  <c r="AC111" i="1" s="1"/>
  <c r="AC112" i="1" a="1"/>
  <c r="AC112" i="1" s="1"/>
  <c r="AC113" i="1" a="1"/>
  <c r="AC113" i="1" s="1"/>
  <c r="AC114" i="1" a="1"/>
  <c r="AC114" i="1"/>
  <c r="AC115" i="1" a="1"/>
  <c r="AC115" i="1" s="1"/>
  <c r="AC116" i="1" a="1"/>
  <c r="AC116" i="1"/>
  <c r="AC117" i="1" a="1"/>
  <c r="AC117" i="1" s="1"/>
  <c r="AC118" i="1" a="1"/>
  <c r="AC118" i="1" s="1"/>
  <c r="AC119" i="1" a="1"/>
  <c r="AC119" i="1" s="1"/>
  <c r="AC120" i="1" a="1"/>
  <c r="AC120" i="1"/>
  <c r="AC121" i="1" a="1"/>
  <c r="AC121" i="1" s="1"/>
  <c r="AC122" i="1" a="1"/>
  <c r="AC122" i="1"/>
  <c r="AC123" i="1" a="1"/>
  <c r="AC123" i="1" s="1"/>
  <c r="AC124" i="1" a="1"/>
  <c r="AC124" i="1" s="1"/>
  <c r="AC125" i="1" a="1"/>
  <c r="AC125" i="1" s="1"/>
  <c r="AC126" i="1" a="1"/>
  <c r="AC126" i="1"/>
  <c r="AC127" i="1" a="1"/>
  <c r="AC127" i="1" s="1"/>
  <c r="AC128" i="1" a="1"/>
  <c r="AC128" i="1"/>
  <c r="AC129" i="1" a="1"/>
  <c r="AC129" i="1" s="1"/>
  <c r="AC130" i="1" a="1"/>
  <c r="AC130" i="1" s="1"/>
  <c r="AC131" i="1" a="1"/>
  <c r="AC131" i="1" s="1"/>
  <c r="AC132" i="1" a="1"/>
  <c r="AC132" i="1"/>
  <c r="AC133" i="1" a="1"/>
  <c r="AC133" i="1" s="1"/>
  <c r="AC134" i="1" a="1"/>
  <c r="AC134" i="1"/>
  <c r="AC135" i="1" a="1"/>
  <c r="AC135" i="1" s="1"/>
  <c r="AC136" i="1" a="1"/>
  <c r="AC136" i="1" s="1"/>
  <c r="AC137" i="1" a="1"/>
  <c r="AC137" i="1" s="1"/>
  <c r="AC138" i="1" a="1"/>
  <c r="AC138" i="1"/>
  <c r="AC139" i="1" a="1"/>
  <c r="AC139" i="1" s="1"/>
  <c r="AC140" i="1" a="1"/>
  <c r="AC140" i="1"/>
  <c r="AC141" i="1" a="1"/>
  <c r="AC141" i="1" s="1"/>
  <c r="AC142" i="1" a="1"/>
  <c r="AC142" i="1" s="1"/>
  <c r="AC143" i="1" a="1"/>
  <c r="AC143" i="1" s="1"/>
  <c r="AC144" i="1" a="1"/>
  <c r="AC144" i="1"/>
  <c r="AC145" i="1" a="1"/>
  <c r="AC145" i="1" s="1"/>
  <c r="AC146" i="1" a="1"/>
  <c r="AC146" i="1"/>
  <c r="AC147" i="1" a="1"/>
  <c r="AC147" i="1" s="1"/>
  <c r="AC148" i="1" a="1"/>
  <c r="AC148" i="1" s="1"/>
  <c r="AC149" i="1" a="1"/>
  <c r="AC149" i="1" s="1"/>
  <c r="AC150" i="1" a="1"/>
  <c r="AC150" i="1" s="1"/>
  <c r="AC151" i="1" a="1"/>
  <c r="AC151" i="1" s="1"/>
  <c r="AC152" i="1" a="1"/>
  <c r="AC152" i="1"/>
  <c r="AC153" i="1" a="1"/>
  <c r="AC153" i="1" s="1"/>
  <c r="AC154" i="1" a="1"/>
  <c r="AC154" i="1" s="1"/>
  <c r="AC155" i="1" a="1"/>
  <c r="AC155" i="1" s="1"/>
  <c r="AC156" i="1" a="1"/>
  <c r="AC156" i="1" s="1"/>
  <c r="AC157" i="1" a="1"/>
  <c r="AC157" i="1" s="1"/>
  <c r="AC158" i="1" a="1"/>
  <c r="AC158" i="1"/>
  <c r="AC159" i="1" a="1"/>
  <c r="AC159" i="1" s="1"/>
  <c r="AC160" i="1" a="1"/>
  <c r="AC160" i="1" s="1"/>
  <c r="AC161" i="1" a="1"/>
  <c r="AC161" i="1" s="1"/>
  <c r="AC162" i="1" a="1"/>
  <c r="AC162" i="1" s="1"/>
  <c r="AC163" i="1" a="1"/>
  <c r="AC163" i="1" s="1"/>
  <c r="AC164" i="1" a="1"/>
  <c r="AC164" i="1"/>
  <c r="AC165" i="1" a="1"/>
  <c r="AC165" i="1" s="1"/>
  <c r="AC166" i="1" a="1"/>
  <c r="AC166" i="1" s="1"/>
  <c r="AC167" i="1" a="1"/>
  <c r="AC167" i="1" s="1"/>
  <c r="AC168" i="1" a="1"/>
  <c r="AC168" i="1" s="1"/>
  <c r="AC169" i="1" a="1"/>
  <c r="AC169" i="1" s="1"/>
  <c r="AC170" i="1" a="1"/>
  <c r="AC170" i="1"/>
  <c r="AC171" i="1" a="1"/>
  <c r="AC171" i="1" s="1"/>
  <c r="AC172" i="1" a="1"/>
  <c r="AC172" i="1" s="1"/>
  <c r="AC173" i="1" a="1"/>
  <c r="AC173" i="1" s="1"/>
  <c r="AC174" i="1" a="1"/>
  <c r="AC174" i="1" s="1"/>
  <c r="AC175" i="1" a="1"/>
  <c r="AC175" i="1" s="1"/>
  <c r="AC176" i="1" a="1"/>
  <c r="AC176" i="1"/>
  <c r="AC177" i="1" a="1"/>
  <c r="AC177" i="1" s="1"/>
  <c r="AC178" i="1" a="1"/>
  <c r="AC178" i="1" s="1"/>
  <c r="AC179" i="1" a="1"/>
  <c r="AC179" i="1" s="1"/>
  <c r="AC180" i="1" a="1"/>
  <c r="AC180" i="1" s="1"/>
  <c r="AC181" i="1" a="1"/>
  <c r="AC181" i="1" s="1"/>
  <c r="AC182" i="1" a="1"/>
  <c r="AC182" i="1"/>
  <c r="AC183" i="1" a="1"/>
  <c r="AC183" i="1" s="1"/>
  <c r="AC184" i="1" a="1"/>
  <c r="AC184" i="1" s="1"/>
  <c r="AC185" i="1" a="1"/>
  <c r="AC185" i="1" s="1"/>
  <c r="AC186" i="1" a="1"/>
  <c r="AC186" i="1" s="1"/>
  <c r="AC187" i="1" a="1"/>
  <c r="AC187" i="1" s="1"/>
  <c r="AC188" i="1" a="1"/>
  <c r="AC188" i="1"/>
  <c r="AC189" i="1" a="1"/>
  <c r="AC189" i="1" s="1"/>
  <c r="AC2" i="1" a="1"/>
  <c r="AC2" i="1" s="1"/>
  <c r="Z3" i="1"/>
  <c r="Z4" i="1"/>
  <c r="Z5" i="1"/>
  <c r="Z6" i="1"/>
  <c r="Z7" i="1"/>
  <c r="Z8" i="1"/>
  <c r="Z9" i="1"/>
  <c r="Z10" i="1"/>
  <c r="Z11" i="1"/>
  <c r="Z12" i="1"/>
  <c r="Z13" i="1"/>
  <c r="Z14" i="1"/>
  <c r="Z15" i="1"/>
  <c r="Z16" i="1"/>
  <c r="Z17" i="1"/>
  <c r="Z18" i="1"/>
  <c r="Z19" i="1"/>
  <c r="Z20" i="1"/>
  <c r="Z21" i="1"/>
  <c r="Z22" i="1"/>
  <c r="Z23" i="1"/>
  <c r="Z24" i="1"/>
  <c r="Z25" i="1"/>
  <c r="Z26" i="1"/>
  <c r="Z27" i="1"/>
  <c r="Z28" i="1"/>
  <c r="Z29" i="1"/>
  <c r="Z30" i="1"/>
  <c r="Z31" i="1"/>
  <c r="Z32" i="1"/>
  <c r="Z33" i="1"/>
  <c r="Z34" i="1"/>
  <c r="Z35" i="1"/>
  <c r="Z36" i="1"/>
  <c r="Z37" i="1"/>
  <c r="Z38" i="1"/>
  <c r="Z39" i="1"/>
  <c r="Z40" i="1"/>
  <c r="Z41" i="1"/>
  <c r="Z42" i="1"/>
  <c r="Z43" i="1"/>
  <c r="Z44" i="1"/>
  <c r="Z45" i="1"/>
  <c r="Z46" i="1"/>
  <c r="Z47" i="1"/>
  <c r="Z48" i="1"/>
  <c r="Z49" i="1"/>
  <c r="Z50" i="1"/>
  <c r="Z51" i="1"/>
  <c r="Z52" i="1"/>
  <c r="Z53" i="1"/>
  <c r="Z54" i="1"/>
  <c r="Z55" i="1"/>
  <c r="Z56" i="1"/>
  <c r="Z57" i="1"/>
  <c r="Z58" i="1"/>
  <c r="Z59" i="1"/>
  <c r="Z60" i="1"/>
  <c r="Z61" i="1"/>
  <c r="Z62" i="1"/>
  <c r="Z63" i="1"/>
  <c r="Z64" i="1"/>
  <c r="Z65" i="1"/>
  <c r="Z66" i="1"/>
  <c r="Z67" i="1"/>
  <c r="Z68" i="1"/>
  <c r="Z69" i="1"/>
  <c r="Z70" i="1"/>
  <c r="Z71" i="1"/>
  <c r="Z72" i="1"/>
  <c r="Z73" i="1"/>
  <c r="Z74" i="1"/>
  <c r="Z75" i="1"/>
  <c r="Z76" i="1"/>
  <c r="Z77" i="1"/>
  <c r="Z78" i="1"/>
  <c r="Z79" i="1"/>
  <c r="Z80" i="1"/>
  <c r="Z81" i="1"/>
  <c r="Z82" i="1"/>
  <c r="Z83" i="1"/>
  <c r="Z84" i="1"/>
  <c r="Z85" i="1"/>
  <c r="Z86" i="1"/>
  <c r="Z87" i="1"/>
  <c r="Z88" i="1"/>
  <c r="Z89" i="1"/>
  <c r="Z90" i="1"/>
  <c r="Z91" i="1"/>
  <c r="Z92" i="1"/>
  <c r="Z93" i="1"/>
  <c r="Z94" i="1"/>
  <c r="Z95" i="1"/>
  <c r="Z96" i="1"/>
  <c r="Z97" i="1"/>
  <c r="Z98" i="1"/>
  <c r="Z99" i="1"/>
  <c r="Z100" i="1"/>
  <c r="Z101" i="1"/>
  <c r="Z102" i="1"/>
  <c r="Z103" i="1"/>
  <c r="Z104" i="1"/>
  <c r="Z105" i="1"/>
  <c r="Z106" i="1"/>
  <c r="Z107" i="1"/>
  <c r="Z108" i="1"/>
  <c r="Z109" i="1"/>
  <c r="Z110" i="1"/>
  <c r="Z111" i="1"/>
  <c r="Z112" i="1"/>
  <c r="Z113" i="1"/>
  <c r="Z114" i="1"/>
  <c r="Z115" i="1"/>
  <c r="Z116" i="1"/>
  <c r="Z117" i="1"/>
  <c r="Z118" i="1"/>
  <c r="Z119" i="1"/>
  <c r="Z120" i="1"/>
  <c r="Z121" i="1"/>
  <c r="Z122" i="1"/>
  <c r="Z123" i="1"/>
  <c r="Z124" i="1"/>
  <c r="Z125" i="1"/>
  <c r="Z126" i="1"/>
  <c r="Z127" i="1"/>
  <c r="Z128" i="1"/>
  <c r="Z129" i="1"/>
  <c r="Z130" i="1"/>
  <c r="Z131" i="1"/>
  <c r="Z132" i="1"/>
  <c r="Z133" i="1"/>
  <c r="Z134" i="1"/>
  <c r="Z135" i="1"/>
  <c r="Z136" i="1"/>
  <c r="Z137" i="1"/>
  <c r="Z138" i="1"/>
  <c r="Z139" i="1"/>
  <c r="Z140" i="1"/>
  <c r="Z141" i="1"/>
  <c r="Z142" i="1"/>
  <c r="Z143" i="1"/>
  <c r="Z144" i="1"/>
  <c r="Z145" i="1"/>
  <c r="Z146" i="1"/>
  <c r="Z147" i="1"/>
  <c r="Z148" i="1"/>
  <c r="Z149" i="1"/>
  <c r="Z150" i="1"/>
  <c r="Z151" i="1"/>
  <c r="Z152" i="1"/>
  <c r="Z153" i="1"/>
  <c r="Z154" i="1"/>
  <c r="Z155" i="1"/>
  <c r="Z156" i="1"/>
  <c r="Z157" i="1"/>
  <c r="Z158" i="1"/>
  <c r="Z159" i="1"/>
  <c r="Z160" i="1"/>
  <c r="Z161" i="1"/>
  <c r="Z162" i="1"/>
  <c r="Z163" i="1"/>
  <c r="Z164" i="1"/>
  <c r="Z165" i="1"/>
  <c r="Z166" i="1"/>
  <c r="Z167" i="1"/>
  <c r="Z168" i="1"/>
  <c r="Z169" i="1"/>
  <c r="Z170" i="1"/>
  <c r="Z171" i="1"/>
  <c r="Z172" i="1"/>
  <c r="Z173" i="1"/>
  <c r="Z174" i="1"/>
  <c r="Z175" i="1"/>
  <c r="Z176" i="1"/>
  <c r="Z177" i="1"/>
  <c r="Z178" i="1"/>
  <c r="Z179" i="1"/>
  <c r="Z180" i="1"/>
  <c r="Z181" i="1"/>
  <c r="Z182" i="1"/>
  <c r="Z183" i="1"/>
  <c r="Z184" i="1"/>
  <c r="Z185" i="1"/>
  <c r="Z186" i="1"/>
  <c r="Z187" i="1"/>
  <c r="Z188" i="1"/>
  <c r="Z189" i="1"/>
  <c r="Z2" i="1"/>
  <c r="K3" i="1"/>
  <c r="K4" i="1"/>
  <c r="K5" i="1"/>
  <c r="K6" i="1"/>
  <c r="K7" i="1"/>
  <c r="K8" i="1"/>
  <c r="K9" i="1"/>
  <c r="K10" i="1"/>
  <c r="K11" i="1"/>
  <c r="K12" i="1"/>
  <c r="K13" i="1"/>
  <c r="K14" i="1"/>
  <c r="K15" i="1"/>
  <c r="K16" i="1"/>
  <c r="K17" i="1"/>
  <c r="K18" i="1"/>
  <c r="K19" i="1"/>
  <c r="K20" i="1"/>
  <c r="K21" i="1"/>
  <c r="K22" i="1"/>
  <c r="K23" i="1"/>
  <c r="K24" i="1"/>
  <c r="K25" i="1"/>
  <c r="K26" i="1"/>
  <c r="K27" i="1"/>
  <c r="K28" i="1"/>
  <c r="K29" i="1"/>
  <c r="K30" i="1"/>
  <c r="K31" i="1"/>
  <c r="K32" i="1"/>
  <c r="K33" i="1"/>
  <c r="K34" i="1"/>
  <c r="K35" i="1"/>
  <c r="K36" i="1"/>
  <c r="K37" i="1"/>
  <c r="K38" i="1"/>
  <c r="K39" i="1"/>
  <c r="K40" i="1"/>
  <c r="K41" i="1"/>
  <c r="K42" i="1"/>
  <c r="K43" i="1"/>
  <c r="K44" i="1"/>
  <c r="K45" i="1"/>
  <c r="K46" i="1"/>
  <c r="K47" i="1"/>
  <c r="K48" i="1"/>
  <c r="K49" i="1"/>
  <c r="K50" i="1"/>
  <c r="K51" i="1"/>
  <c r="K52" i="1"/>
  <c r="K53" i="1"/>
  <c r="K54" i="1"/>
  <c r="K55" i="1"/>
  <c r="K56" i="1"/>
  <c r="K57" i="1"/>
  <c r="K58" i="1"/>
  <c r="K59" i="1"/>
  <c r="K60" i="1"/>
  <c r="K61" i="1"/>
  <c r="K62" i="1"/>
  <c r="K63" i="1"/>
  <c r="K64" i="1"/>
  <c r="K65" i="1"/>
  <c r="K66" i="1"/>
  <c r="K67" i="1"/>
  <c r="K68" i="1"/>
  <c r="K69" i="1"/>
  <c r="K70" i="1"/>
  <c r="K71" i="1"/>
  <c r="K72" i="1"/>
  <c r="K73" i="1"/>
  <c r="K74" i="1"/>
  <c r="K75" i="1"/>
  <c r="K76" i="1"/>
  <c r="K77" i="1"/>
  <c r="K78" i="1"/>
  <c r="K79" i="1"/>
  <c r="K80" i="1"/>
  <c r="K81" i="1"/>
  <c r="K82" i="1"/>
  <c r="K83" i="1"/>
  <c r="K84" i="1"/>
  <c r="K85" i="1"/>
  <c r="K86" i="1"/>
  <c r="K87" i="1"/>
  <c r="K88" i="1"/>
  <c r="K89" i="1"/>
  <c r="K90" i="1"/>
  <c r="K91" i="1"/>
  <c r="K92" i="1"/>
  <c r="K93" i="1"/>
  <c r="K94" i="1"/>
  <c r="K95" i="1"/>
  <c r="K96" i="1"/>
  <c r="K97" i="1"/>
  <c r="K98" i="1"/>
  <c r="K99" i="1"/>
  <c r="K100" i="1"/>
  <c r="K101" i="1"/>
  <c r="K102" i="1"/>
  <c r="K103" i="1"/>
  <c r="K104" i="1"/>
  <c r="K105" i="1"/>
  <c r="K106" i="1"/>
  <c r="K107" i="1"/>
  <c r="K108" i="1"/>
  <c r="K109" i="1"/>
  <c r="K110" i="1"/>
  <c r="K111" i="1"/>
  <c r="K112" i="1"/>
  <c r="K113" i="1"/>
  <c r="K114" i="1"/>
  <c r="K115" i="1"/>
  <c r="K116" i="1"/>
  <c r="K117" i="1"/>
  <c r="K118" i="1"/>
  <c r="K119" i="1"/>
  <c r="K120" i="1"/>
  <c r="K121" i="1"/>
  <c r="K122" i="1"/>
  <c r="K123" i="1"/>
  <c r="K124" i="1"/>
  <c r="K125" i="1"/>
  <c r="K126" i="1"/>
  <c r="K127" i="1"/>
  <c r="K128" i="1"/>
  <c r="K129" i="1"/>
  <c r="K130" i="1"/>
  <c r="K131" i="1"/>
  <c r="K132" i="1"/>
  <c r="K133" i="1"/>
  <c r="K134" i="1"/>
  <c r="K135" i="1"/>
  <c r="K136" i="1"/>
  <c r="K137" i="1"/>
  <c r="K138" i="1"/>
  <c r="K139" i="1"/>
  <c r="K140" i="1"/>
  <c r="K141" i="1"/>
  <c r="K142" i="1"/>
  <c r="K143" i="1"/>
  <c r="K144" i="1"/>
  <c r="K145" i="1"/>
  <c r="K146" i="1"/>
  <c r="K147" i="1"/>
  <c r="K148" i="1"/>
  <c r="K149" i="1"/>
  <c r="K150" i="1"/>
  <c r="K151" i="1"/>
  <c r="K152" i="1"/>
  <c r="K153" i="1"/>
  <c r="K154" i="1"/>
  <c r="K155" i="1"/>
  <c r="K156" i="1"/>
  <c r="K157" i="1"/>
  <c r="K158" i="1"/>
  <c r="K159" i="1"/>
  <c r="K160" i="1"/>
  <c r="K161" i="1"/>
  <c r="K162" i="1"/>
  <c r="K163" i="1"/>
  <c r="K164" i="1"/>
  <c r="K165" i="1"/>
  <c r="K166" i="1"/>
  <c r="K167" i="1"/>
  <c r="K168" i="1"/>
  <c r="K169" i="1"/>
  <c r="K170" i="1"/>
  <c r="K171" i="1"/>
  <c r="K172" i="1"/>
  <c r="K173" i="1"/>
  <c r="K174" i="1"/>
  <c r="K175" i="1"/>
  <c r="K176" i="1"/>
  <c r="K177" i="1"/>
  <c r="K178" i="1"/>
  <c r="K179" i="1"/>
  <c r="K180" i="1"/>
  <c r="K181" i="1"/>
  <c r="K182" i="1"/>
  <c r="K183" i="1"/>
  <c r="K184" i="1"/>
  <c r="K185" i="1"/>
  <c r="K186" i="1"/>
  <c r="K187" i="1"/>
  <c r="K188" i="1"/>
  <c r="K189" i="1"/>
  <c r="K2" i="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<sst xmlns="http://schemas.openxmlformats.org/spreadsheetml/2006/main" count="2822" uniqueCount="777">
  <si>
    <t>id</t>
  </si>
  <si>
    <t>amountClaim</t>
  </si>
  <si>
    <t>compensationAmount</t>
  </si>
  <si>
    <t>hospitalizedDate</t>
  </si>
  <si>
    <t>hospitalDischargeDate</t>
  </si>
  <si>
    <t>diagnostic</t>
  </si>
  <si>
    <t>tpaId</t>
  </si>
  <si>
    <t>createdAt</t>
  </si>
  <si>
    <t>createdAtYear</t>
  </si>
  <si>
    <t>createdAtYearv1</t>
  </si>
  <si>
    <t>createdAtYearv2</t>
  </si>
  <si>
    <t>createdAtYearv3</t>
  </si>
  <si>
    <t>source</t>
  </si>
  <si>
    <t>connectType</t>
  </si>
  <si>
    <t>co_peopleDoB</t>
  </si>
  <si>
    <t>age</t>
  </si>
  <si>
    <t>co_relationshipName</t>
  </si>
  <si>
    <t>co_peopleGenderName</t>
  </si>
  <si>
    <t>claimTypeName</t>
  </si>
  <si>
    <t>cleaned_diagnostic</t>
  </si>
  <si>
    <t>common_diagnostic_category</t>
  </si>
  <si>
    <t>age_group</t>
  </si>
  <si>
    <t>age_group1</t>
  </si>
  <si>
    <t>1b35c7826a58be899d500199a302b1a4</t>
  </si>
  <si>
    <t>Bệnh viện Đa khoa Tâm Anh Hồ Chí Minh</t>
  </si>
  <si>
    <t>Viêm họng cấp, không đặc hiệu (J02.9), Rối loạn tiêu hoá (K30)</t>
  </si>
  <si>
    <t>SMART</t>
  </si>
  <si>
    <t>REIMBURSEMENT_CLAIM</t>
  </si>
  <si>
    <t>API</t>
  </si>
  <si>
    <t>CHILDREN</t>
  </si>
  <si>
    <t>FEMALE</t>
  </si>
  <si>
    <t>OUTPATIENT</t>
  </si>
  <si>
    <t>Hô hấp</t>
  </si>
  <si>
    <t>0-17</t>
  </si>
  <si>
    <t>4eac19f92721be899d5001999f9fc496</t>
  </si>
  <si>
    <t>nhiễm trùng đường ruột do vi khuẩn</t>
  </si>
  <si>
    <t>Tiêu hóa</t>
  </si>
  <si>
    <t>0a9513a74463be899d50019998809c9f</t>
  </si>
  <si>
    <t xml:space="preserve">Bệnh viện Nhi Trung ương </t>
  </si>
  <si>
    <t>Viêm phổi dần ổn định</t>
  </si>
  <si>
    <t>MALE</t>
  </si>
  <si>
    <t>Khác</t>
  </si>
  <si>
    <t>ea18e5fb4463be899d50019998775412</t>
  </si>
  <si>
    <t>Viêm phổi không đặc hiệu</t>
  </si>
  <si>
    <t>b123709656c5be899d500199869bf8fe</t>
  </si>
  <si>
    <t>Bệnh viện Nhi Trung ương - Trung tâm Quốc tế</t>
  </si>
  <si>
    <t>Rối loạn tiêu hoá-Viêm phế quản</t>
  </si>
  <si>
    <t>501525f956c5be899d5001998694fe91</t>
  </si>
  <si>
    <t>Viêm phế quản</t>
  </si>
  <si>
    <t>03a7146656c5be899d50019984c98f96</t>
  </si>
  <si>
    <t>Bệnh viện Nhi Đồng I</t>
  </si>
  <si>
    <t>Bệnh tay chân miệng độ 1 ngày 9 - Nhiễm trùng đường ruột do vi khuẩn</t>
  </si>
  <si>
    <t>0fa33b1256c5be899d5001998450f526</t>
  </si>
  <si>
    <t>Bệnh viện Đa khoa Phương Đông</t>
  </si>
  <si>
    <t>viên phế quản phổi, viêm tai giữa ứ dịch 2 bên, viêm mũi họng amidan cấp, nấm miệng, rối loạn tiêu hoá</t>
  </si>
  <si>
    <t>HOSPITALIZATION ALLOWANCE</t>
  </si>
  <si>
    <t>baeb74f356c5be899d50019983f84942</t>
  </si>
  <si>
    <t>PHÒNG KHÁM NHI KINDERHEALTH QUẬN 7</t>
  </si>
  <si>
    <t>viêm thanh quản cấp (J04.0) Viêm mũi họng cấp J00</t>
  </si>
  <si>
    <t>f13834a3342bbe899d5001997f707212</t>
  </si>
  <si>
    <t>Bệnh tay chân miệng độ 1 ngày 6 - Nhiễm trùng đường ruột do vi khuẩn</t>
  </si>
  <si>
    <t>8ce64a50342bbe899d5001997f6d375b</t>
  </si>
  <si>
    <t>Bệnh tay chân miệng độ 1 ngày 4</t>
  </si>
  <si>
    <t>a53759f9342bbe899d5001997f69511d</t>
  </si>
  <si>
    <t>Viêm mũi họng</t>
  </si>
  <si>
    <t>1655e2c53b75be899d5001996b2d0708</t>
  </si>
  <si>
    <t>Bệnh Viện Nhi Đồng II</t>
  </si>
  <si>
    <t>Viêm họng cấp , sốt</t>
  </si>
  <si>
    <t>33d6b0fe0963be899d500199718c0372</t>
  </si>
  <si>
    <t>Buồn nôn và nôn, rối loạn tiêu hóa</t>
  </si>
  <si>
    <t>INPATIENT</t>
  </si>
  <si>
    <t>0d2db3f90963be899d5001997174301d</t>
  </si>
  <si>
    <t>BỆNH VIỆN ĐA KHOA QUỐC TẾ VINMEC HẢI PHÒNG</t>
  </si>
  <si>
    <t>Viêm phế quản phổi</t>
  </si>
  <si>
    <t>ee1defe13b75be899d5001996b28748b</t>
  </si>
  <si>
    <t>Bệnh viện đa khoa Kinh Bắc II</t>
  </si>
  <si>
    <t>Viêm phế quản cấp, Tay chân miệng, Viêm amydan, Viêm V.A cấp</t>
  </si>
  <si>
    <t>Da liễu</t>
  </si>
  <si>
    <t>ae5ac20156c0be899d5001996279d16c</t>
  </si>
  <si>
    <t>Phòng khám Đa khoa Quốc tế Thu Cúc cơ sở Trần Duy Hưng</t>
  </si>
  <si>
    <t>viêm họng, viêm amidan, viêm phế quan, nhiễm khuẩn nặng</t>
  </si>
  <si>
    <t>16c8b8b256c0be899d50019962521b32</t>
  </si>
  <si>
    <t>Viêm mũi họng cấp</t>
  </si>
  <si>
    <t>6cd741a756c0be899d500199625067bc</t>
  </si>
  <si>
    <t>dị ứng nổi mảng đỏ</t>
  </si>
  <si>
    <t>36819e35620cbe899d5001995cf4bb7f</t>
  </si>
  <si>
    <t>viêm phổi</t>
  </si>
  <si>
    <t>71807efc620cbe899d5001995c69d23c</t>
  </si>
  <si>
    <t>237d3c222223be899d500199578fab83</t>
  </si>
  <si>
    <t>Cty Cổ phần Phòng Khám Đa Khoa Y Sài Gòn</t>
  </si>
  <si>
    <t>viêm họng cấp</t>
  </si>
  <si>
    <t>4e48e2fd2223be899d50019955db8f9d</t>
  </si>
  <si>
    <t>KHÁC</t>
  </si>
  <si>
    <t>viêm mũi họng/ trào ngược dạ dày thực quản</t>
  </si>
  <si>
    <t>0412eefd2223be899d50019955e0dd05</t>
  </si>
  <si>
    <t>Viêm tai ngoài</t>
  </si>
  <si>
    <t>5c5c00f82223be899d50019955b58a86</t>
  </si>
  <si>
    <t>Viêm mũi họng - Viêm amidan mủ</t>
  </si>
  <si>
    <t>b9b3a1c62223be899d5001995593cdef</t>
  </si>
  <si>
    <t>Nhiễm trùng đường hô hấp trên cấp</t>
  </si>
  <si>
    <t>147855fc682bbe899d5001994cb5f12f</t>
  </si>
  <si>
    <t xml:space="preserve">Ban đỏ CTNN, TD tay chân miệng độ I </t>
  </si>
  <si>
    <t>065b56841924be899d5001994775dc64</t>
  </si>
  <si>
    <t>Viêm phế quản cấp (Viêm mũi họng)</t>
  </si>
  <si>
    <t>03b844fa1924be899d500199462bba4b</t>
  </si>
  <si>
    <t>Bệnh viện Phụ sản - Nhi Đà Nẵng</t>
  </si>
  <si>
    <t>viêm ruột, viêm tai giữa</t>
  </si>
  <si>
    <t>04adb8fc604abe899d5001993cb21cfb</t>
  </si>
  <si>
    <t>37b7fca3604abe899d5001993cad7cf3</t>
  </si>
  <si>
    <t>feb6a9fe25aebe899d50019936e3017e</t>
  </si>
  <si>
    <t>Bệnh viện Đa khoa Hồng Ngọc - Phúc Trường Minh</t>
  </si>
  <si>
    <t>K90.1</t>
  </si>
  <si>
    <t>b83724c71b9bbe899d5001992d5c9ba8</t>
  </si>
  <si>
    <t>Hệ thống Phòng khám Nhi Đồng 315 - PK 16</t>
  </si>
  <si>
    <t>Viêm mũi họng cấp bội nhiễm. Viêm mũi dị ứng</t>
  </si>
  <si>
    <t>a11b54fe1b9bbe899d5001992d58140b</t>
  </si>
  <si>
    <t>Viêm mũi họng cấp [cảm thường] bội nhiễm</t>
  </si>
  <si>
    <t>23e907f91b9bbe899d5001992d543ff5</t>
  </si>
  <si>
    <t>Viêm mũi họng cấp [cảm thường]</t>
  </si>
  <si>
    <t>97f563131b9bbe899d5001992d50519e</t>
  </si>
  <si>
    <t>Viêm mũi dị ứng</t>
  </si>
  <si>
    <t>2107f5631b9bbe899d50019917fe611d</t>
  </si>
  <si>
    <t>viêm phế quản cấp</t>
  </si>
  <si>
    <t>20f830e01b9bbe899d5001992791a907</t>
  </si>
  <si>
    <t>Phòng khám Happy Baby Biên Hòa</t>
  </si>
  <si>
    <t>Viêm mũi họng do siêu vi</t>
  </si>
  <si>
    <t>b927ec761b9bbe899d5001992786f2c8</t>
  </si>
  <si>
    <t>Bệnh viện đa khoa Xanh Pôn</t>
  </si>
  <si>
    <t xml:space="preserve">Viêm họng cấp, viêm phổi </t>
  </si>
  <si>
    <t>458295fa1b9bbe899d50019927670eab</t>
  </si>
  <si>
    <t>Bệnh viện Đại học Y Hà Nội</t>
  </si>
  <si>
    <t>Viêm họng cấp có mủ, viêm phế quản cấp</t>
  </si>
  <si>
    <t>00e2a3fc1b9bbe899d50019925338c5d</t>
  </si>
  <si>
    <t xml:space="preserve">BỆNH VIỆN ĐA KHOA QUỐC TẾ THIÊN ĐỨC </t>
  </si>
  <si>
    <t>Viêm mũi họng cấp, viêm amydan cấp mủ 2 bên</t>
  </si>
  <si>
    <t>3c01b7fe1b9bbe899d5001991f68e530</t>
  </si>
  <si>
    <t>Viêm mũi họng cấp(cảm thường)</t>
  </si>
  <si>
    <t>5ea1eb351b9bbe899d5001991ee58657</t>
  </si>
  <si>
    <t>viêm tiểu phế quản cấp</t>
  </si>
  <si>
    <t>16e3afc01b9bbe899d5001991ed004b0</t>
  </si>
  <si>
    <t>viêm amyđan cấp</t>
  </si>
  <si>
    <t>bbfad0fb1b9bbe899d5001991eacc78a</t>
  </si>
  <si>
    <t>Nhiễm trùng đường hô hấp trên, viêm kết mạc</t>
  </si>
  <si>
    <t>07c171371b9bbe899d5001991db588dc</t>
  </si>
  <si>
    <t>180150731b9bbe899d5001990ecd2d32</t>
  </si>
  <si>
    <t>Bệnh viện Đông Đô</t>
  </si>
  <si>
    <t>Thai 07 tuần 05 ngày doạ xảy/ Dị ứng chưa rõ nguyên nhân, polyp cổ tử cung</t>
  </si>
  <si>
    <t>SELF</t>
  </si>
  <si>
    <t>Thai sản</t>
  </si>
  <si>
    <t>18-35</t>
  </si>
  <si>
    <t>9612ec411b9bbe899d5001991a97dc02</t>
  </si>
  <si>
    <t>viêm tai giữa cấp mũ bên trái, chấm xuất huyết dưới da</t>
  </si>
  <si>
    <t>11c656ff1b9bbe899d50019919d5dfba</t>
  </si>
  <si>
    <t>Bệnh viện Hoàn Mỹ Sài Gòn Premier</t>
  </si>
  <si>
    <t>Viêm amydan cấp</t>
  </si>
  <si>
    <t>678a13671b9bbe899d50019919cabed3</t>
  </si>
  <si>
    <t>Sốt, nhiễm trùng hô hấp trên</t>
  </si>
  <si>
    <t>fe7addf91b9bbe899d500199195ee09c</t>
  </si>
  <si>
    <t>Viêm amydan</t>
  </si>
  <si>
    <t>9c82c0ff1b9bbe899d500199195b9668</t>
  </si>
  <si>
    <t>Viêm phế quản cấp + Thở khò khè</t>
  </si>
  <si>
    <t>a038b7fe1b9bbe899d50019918bc6057</t>
  </si>
  <si>
    <t xml:space="preserve">Viêm mũi họng cấp </t>
  </si>
  <si>
    <t>591e67f81b9bbe899d5001991860528d</t>
  </si>
  <si>
    <t>Bệnh viện Quận Tân Phú</t>
  </si>
  <si>
    <t>tay chân miệng</t>
  </si>
  <si>
    <t>980130741b9bbe899d500199185cfbb7</t>
  </si>
  <si>
    <t>18700bd61b9bbe899d50019917f35bca</t>
  </si>
  <si>
    <t>Viêm phổi</t>
  </si>
  <si>
    <t>1352d7041b9bbe899d500199153c7d5b</t>
  </si>
  <si>
    <t>khó tiêu chức năng</t>
  </si>
  <si>
    <t>23b283fa1b9bbe899d50019915373a78</t>
  </si>
  <si>
    <t>tay chân miệng độ IIa, ngày 2</t>
  </si>
  <si>
    <t>7c07e2a11b9bbe899d5001991329f48a</t>
  </si>
  <si>
    <t>J00, R06.2</t>
  </si>
  <si>
    <t>2bec81f91b9bbe899d500199129107c4</t>
  </si>
  <si>
    <t>nhiễm trùng đường ruột đỡ giảm</t>
  </si>
  <si>
    <t>1ab0b0fd1b9bbe899d500199127cd6b9</t>
  </si>
  <si>
    <t xml:space="preserve">Tiêu chảy nhiễm khuẩn </t>
  </si>
  <si>
    <t>Nhiễm trùng</t>
  </si>
  <si>
    <t>11a5c9331b9bbe899d500198f3bbbfe5</t>
  </si>
  <si>
    <t>Covid-19, xác định có virus</t>
  </si>
  <si>
    <t>f2f9a3fe1b9bbe899d5001990416790f</t>
  </si>
  <si>
    <t>viêm hô hấp trên, viêm kết mạc</t>
  </si>
  <si>
    <t>22a6ea441b9bbe899d500198f6006d4f</t>
  </si>
  <si>
    <t>Bệnh viện Đa khoa Nông nghiệp</t>
  </si>
  <si>
    <t>Viêm tiểu phế quản cấp bội nhiệm, sốt xác định khác</t>
  </si>
  <si>
    <t>614558fb1b9bbe899d500198f1596971</t>
  </si>
  <si>
    <t>viêm tiểu phế quản</t>
  </si>
  <si>
    <t>968652161b9bbe899d500198ee9afa7d</t>
  </si>
  <si>
    <t>Bệnh viện Đa khoa Quốc tế Columbia Asia Bình Dương</t>
  </si>
  <si>
    <t xml:space="preserve">Viêm họng có phỏng nước do virus đường ruột với phát ban </t>
  </si>
  <si>
    <t>f2a214fc1b9bbe899d500198e6ac71f0</t>
  </si>
  <si>
    <t>Bệnh viện Nhi Đồng Thành Phố</t>
  </si>
  <si>
    <t>viêm phế quản phổi</t>
  </si>
  <si>
    <t>0a7318f71b9bbe899d500198e6a4c29c</t>
  </si>
  <si>
    <t>0f1d73f61b9bbe899d500198e5f5876b</t>
  </si>
  <si>
    <t>Viêm tiểu phế quản cấp - Viêm mũi họng cấp</t>
  </si>
  <si>
    <t>5e152cfc1b9bbe899d500198e5dff020</t>
  </si>
  <si>
    <t>Tay chân miệng độ I</t>
  </si>
  <si>
    <t>0a58b8f91b9bbe899d500198e4d65916</t>
  </si>
  <si>
    <t>Viêm mũi</t>
  </si>
  <si>
    <t>43b4fafd1b9bbe899d500198e4d2f3df</t>
  </si>
  <si>
    <t>Viêm mũi họng cấp [ cảm thường ] bội nhiễm - Táo bón</t>
  </si>
  <si>
    <t>4423e4f91b9bbe899d500198e08de929</t>
  </si>
  <si>
    <t>Bệnh viện Nhi Đồng II</t>
  </si>
  <si>
    <t>B08.8- Nhiễm virus xác định khác có biểu hiện tổn thương tại da và niêm mạc - độ 1 n2</t>
  </si>
  <si>
    <t>ee32a6fc1b9bbe899d500198e08a25de</t>
  </si>
  <si>
    <t>Rối loạn tiêu hóa; J00- Viêm mũi họng cấp</t>
  </si>
  <si>
    <t>Rối loạn tiêu hóa</t>
  </si>
  <si>
    <t>1336ac601b9bbe899d500198e085abe4</t>
  </si>
  <si>
    <t>Viêm họng cấp, rối loạn tiêu hóa</t>
  </si>
  <si>
    <t>d2f4baff1b9bbe899d500198d4f0e448</t>
  </si>
  <si>
    <t>Viêm họng cấp</t>
  </si>
  <si>
    <t>3dbf7c911b9bbe899d500198df57ba03</t>
  </si>
  <si>
    <t>ac841afd1b9bbe899d500198d06420da</t>
  </si>
  <si>
    <t>viêm tai giữa cấp mủ, tạm ổn</t>
  </si>
  <si>
    <t>13eb6fd23ffdbe899d500198cbeb651f</t>
  </si>
  <si>
    <t>Bệnh viện Đa khoa Quốc tế Bắc Hà</t>
  </si>
  <si>
    <t>viêm mũi họng cấp</t>
  </si>
  <si>
    <t>2a3d58ff3ffdbe899d500198caf036ca</t>
  </si>
  <si>
    <t>Bệnh viện Quân Y 103 (cơ sở 2 Hà Đông)</t>
  </si>
  <si>
    <t xml:space="preserve">Nhiễm khuẩn tiêu hoá </t>
  </si>
  <si>
    <t>231409e43ffdbe899d500198c6e8fd1b</t>
  </si>
  <si>
    <t>viêm phế quản cấp, sẩn ngứa, bệnh trào ngươic dạ dày, thực quản</t>
  </si>
  <si>
    <t>1275dfe03ffdbe899d500198c7cb3983</t>
  </si>
  <si>
    <t>Viêm họng Viêm phế quản</t>
  </si>
  <si>
    <t>0fdec3223ffdbe899d500198c786f210</t>
  </si>
  <si>
    <t>Bệnh viện Đa khoa Vĩnh Đức</t>
  </si>
  <si>
    <t>Bé sốt cao kèm tiêu chảy tại nhà hai ngày nhưng không bớt nên được đưa vào viện. Tại đây các bác sĩ kiểm tra và chuẩn đoán bé bị nhiễm trùng đường hô hấp cấp trên, nhiễm trùng đường ruột do vi khuẩn không xác định, rối loạn cân bằng điện gioả và nước chưa được phân loại ở phần khác, viêm da cơ địa khác.</t>
  </si>
  <si>
    <t>500b9db63815be899d500198c1247f76</t>
  </si>
  <si>
    <t>viêm tai giữa chảy mủ bên trái</t>
  </si>
  <si>
    <t>c01574d33815be899d500198c0c425da</t>
  </si>
  <si>
    <t>viêm tiểu phế quản bội nhiễm</t>
  </si>
  <si>
    <t>25554d063815be899d500198bc38955b</t>
  </si>
  <si>
    <t>viêm mũi họng</t>
  </si>
  <si>
    <t>808146fd3815be899d500198bc35d152</t>
  </si>
  <si>
    <t>Viêm tiểu phế quản cấp, rối loạn tiêu hoá</t>
  </si>
  <si>
    <t>1fd943133815be899d500198b8c8227c</t>
  </si>
  <si>
    <t>Viêm phế quản cấp, viêm tai giữa ứ mủ Phải</t>
  </si>
  <si>
    <t>91d667d73815be899d500198ad917d20</t>
  </si>
  <si>
    <t>Viêm V.A cấp, viêm amydal, rối loạn chức năng ruột</t>
  </si>
  <si>
    <t>c4b4b6573815be899d500198a2320193</t>
  </si>
  <si>
    <t>Viêm mũi họng - Táo bón</t>
  </si>
  <si>
    <t>2b24fa033815be899d500198a22de99f</t>
  </si>
  <si>
    <t>Viêm họng/Sốt ngày 1</t>
  </si>
  <si>
    <t>bd2068fa3815be899d5001989e6d3300</t>
  </si>
  <si>
    <t>50f400fc3815be899d5001989e69e347</t>
  </si>
  <si>
    <t>Viêm mũi họng, sốt N3</t>
  </si>
  <si>
    <t>d964eb913815be899d5001989d9034bb</t>
  </si>
  <si>
    <t>viêm phế quản phổi, Hen</t>
  </si>
  <si>
    <t>ba25c7fc3815be899d50019899e0d085</t>
  </si>
  <si>
    <t>0c879bf53815be899d50019899dd9c1a</t>
  </si>
  <si>
    <t>6207dfa13815be899d50019899d46476</t>
  </si>
  <si>
    <t>c2ef8d053815be899d50019899cde7e6</t>
  </si>
  <si>
    <t>Viêm tiểu phế quản bội nhiễm</t>
  </si>
  <si>
    <t>56d28fff3815be899d50019899c09efd</t>
  </si>
  <si>
    <t>1cda84763815be899d5001989764970c</t>
  </si>
  <si>
    <t>Bệnh viện nhi Hà Nội</t>
  </si>
  <si>
    <t>Nhiễm adeno viêm tai giữa nung mủ, viêm mũi mủ, viêm phổi</t>
  </si>
  <si>
    <t>db8eeefe3815be899d50019894d9df3d</t>
  </si>
  <si>
    <t>Viêm phế quản cấp, Nhiễm trùng đường hô hấp trên cấp, Rối loạn tiêu hoá</t>
  </si>
  <si>
    <t>92e6e0fd3815be899d50019894bfadc3</t>
  </si>
  <si>
    <t>Nhiễm trùng đường hô hấp trên cấp, viêm phế quản</t>
  </si>
  <si>
    <t>b598c3f83815be899d5001988599f81d</t>
  </si>
  <si>
    <t>Viêm phế quản cấp ổn định</t>
  </si>
  <si>
    <t>01f839f83815be899d5001987fc5ed66</t>
  </si>
  <si>
    <t>0213d7ff3815be899d500198743465ad</t>
  </si>
  <si>
    <t>1fceadf83815be899d5001987a31bb98</t>
  </si>
  <si>
    <t>gãy 1/3 dưới 2 xương cẳng tay phải</t>
  </si>
  <si>
    <t>LABOR ACCIDENT</t>
  </si>
  <si>
    <t>0648b2fc3815be899d5001987a083008</t>
  </si>
  <si>
    <t>Bệnh viện Quốc tế Sản Nhi Hải Phòng</t>
  </si>
  <si>
    <t>chấn thương bàn tay P</t>
  </si>
  <si>
    <t>b50450fd3815be899d5001987452af9f</t>
  </si>
  <si>
    <t>Bệnh viện đa khoa Xuyên Á</t>
  </si>
  <si>
    <t>7b7280ff3815be899d500198744df5fd</t>
  </si>
  <si>
    <t>Bệnh viện Đa khoa Xuyên Á - Vĩnh Long</t>
  </si>
  <si>
    <t>1f7a52c33815be899d5001987427d04c</t>
  </si>
  <si>
    <t>viêm phổi do virus hợp bào hô hấp</t>
  </si>
  <si>
    <t>0dbf7bf93815be899d50019874145468</t>
  </si>
  <si>
    <t>viêm phế quản cấp- covid 19</t>
  </si>
  <si>
    <t>051a95fa3815be899d500198740f3323</t>
  </si>
  <si>
    <t>viêm phế quản phổi - Covid 19</t>
  </si>
  <si>
    <t>0e7eed673815be899d5001986ff53922</t>
  </si>
  <si>
    <t>Bệnh viện Hồng Ngọc - Yên Ninh</t>
  </si>
  <si>
    <t>khám lại sau ra viện chuẩn đoán tiêu chảy cấp, viêm mũi họng cấp, viêm tai giữa ứ mủ 2 bên</t>
  </si>
  <si>
    <t>9de9b8ff3815be899d5001986fe5a56d</t>
  </si>
  <si>
    <t>tiêu chảy cấp, viêm mũi họng cấp, viêm tai giữa</t>
  </si>
  <si>
    <t>135972203815be899d5001986b545197</t>
  </si>
  <si>
    <t xml:space="preserve">viêm tiểu phế quản bội nhiễm, viêm thanh quản, viêm mũi họng, rsv </t>
  </si>
  <si>
    <t>632e2afb3815be899d50019865364798</t>
  </si>
  <si>
    <t>viêm hồi manh tràng</t>
  </si>
  <si>
    <t>1f9939f93815be899d5001986311eed4</t>
  </si>
  <si>
    <t>J00, viêm mũi họng cấp</t>
  </si>
  <si>
    <t>ce690af83815be899d50019859f198f7</t>
  </si>
  <si>
    <t>ho - nhiễm virus không xác định</t>
  </si>
  <si>
    <t>67c438633815be899d50019859ebbbb1</t>
  </si>
  <si>
    <t>viêm họng cấp, viêm dạ dày ruột và đại tràng</t>
  </si>
  <si>
    <t>45031e973815be899d50019859b3e122</t>
  </si>
  <si>
    <t>Hệ thống Phòng khám Nhi Đồng 315 - 308 Tân Sơn Nhì</t>
  </si>
  <si>
    <t>c04b3afa3815be899d50019859b1bd81</t>
  </si>
  <si>
    <t>d47ed8203815be899d50019859aec23f</t>
  </si>
  <si>
    <t>4a9edcfe3815be899d500198592c002a</t>
  </si>
  <si>
    <t>viêm phế quản</t>
  </si>
  <si>
    <t>99204df95941be899d5001984f4fce57</t>
  </si>
  <si>
    <t>6f0db5fb5941be899d5001984f299baa</t>
  </si>
  <si>
    <t>Viêm họng có phỏng nước do virus đường ruột với phát ban</t>
  </si>
  <si>
    <t>c60d53fd5941be899d5001984f319565</t>
  </si>
  <si>
    <t>sốt đầu ngày 3 chưa loại trừ sốt xuất huyết</t>
  </si>
  <si>
    <t>1949f8835941be899d5001984f2ff922</t>
  </si>
  <si>
    <t>nhiễm siêu vi</t>
  </si>
  <si>
    <t>5628a5745941be899d5001984e306706</t>
  </si>
  <si>
    <t>Bệnh viện đa khoa Tâm Anh</t>
  </si>
  <si>
    <t>Nôn nhiều có mất nước; tiêu chảy cấp</t>
  </si>
  <si>
    <t>Nôn nhiều có mất nước</t>
  </si>
  <si>
    <t>1d9351fc5941be899d50019841259dcf</t>
  </si>
  <si>
    <t>Trung tâm y tế huyện Phù Cát</t>
  </si>
  <si>
    <t>1473a8fc5941be899d5001983f631301</t>
  </si>
  <si>
    <t xml:space="preserve">viêm tiểu phế quản </t>
  </si>
  <si>
    <t>21737dfc1992be899d5001983cea6ceb</t>
  </si>
  <si>
    <t>Sốt Virus</t>
  </si>
  <si>
    <t>e508db221992be899d5001983ce52269</t>
  </si>
  <si>
    <t>nhiễm trùng đường hô hấp trên cấp</t>
  </si>
  <si>
    <t>58ee26fb1992be899d5001983b553033</t>
  </si>
  <si>
    <t>123059fd1992be899d5001983b525fac</t>
  </si>
  <si>
    <t>e48d09911992be899d5001983b12d7be</t>
  </si>
  <si>
    <t>Trào ngược dạ dày - thực quản</t>
  </si>
  <si>
    <t>149b5ee21992be899d50019837daa7d5</t>
  </si>
  <si>
    <t>1d403fa11992be899d50019836463eb8</t>
  </si>
  <si>
    <t xml:space="preserve">viêm hạch góc hàm </t>
  </si>
  <si>
    <t>ba2f16711992be899d500198332078f7</t>
  </si>
  <si>
    <t>Nhiễm trùng ở các vị trí không xác định</t>
  </si>
  <si>
    <t>462166101992be899d500198329c2244</t>
  </si>
  <si>
    <t>tiêu chảy rối loạn chức năng</t>
  </si>
  <si>
    <t>c07c67f91992be899d50019831a7c47b</t>
  </si>
  <si>
    <t>Viêm họng cấp/rối loạn tiêu hóa</t>
  </si>
  <si>
    <t>d589d7fb1992be899d50019831a2958c</t>
  </si>
  <si>
    <t>0da418f91992be899d5001982dfcece8</t>
  </si>
  <si>
    <t>Bệnh viện Mắt trung ương</t>
  </si>
  <si>
    <t>Mắt phải viêm kết mạc cấp</t>
  </si>
  <si>
    <t>238cea101992be899d5001982c27706b</t>
  </si>
  <si>
    <t xml:space="preserve">Viêm ruột do Adenovirus </t>
  </si>
  <si>
    <t>472ed1251992be899d5001982c117ea7</t>
  </si>
  <si>
    <t>4062cdf21992be899d5001982c0e17b7</t>
  </si>
  <si>
    <t>1dfcbdfe1992be899d5001982c0b40b6</t>
  </si>
  <si>
    <t>viêm phế quản - TD GERD</t>
  </si>
  <si>
    <t>a98847971992be899d5001982b1a8112</t>
  </si>
  <si>
    <t>Bệnh viện đa khoa quốc tế Vinmec Smart City</t>
  </si>
  <si>
    <t>Viêm mũi mủ, viêm tai giữa cấp bên trái</t>
  </si>
  <si>
    <t>23de60c24ea9be899d5001981c56dead</t>
  </si>
  <si>
    <t>Phòng khám Tai mũi họng Song Linh</t>
  </si>
  <si>
    <t>viêm A cấp mủ</t>
  </si>
  <si>
    <t>02be95034ea9be899d5001981cba36fb</t>
  </si>
  <si>
    <t>sưng phần mềm vùng trán do chấn thương</t>
  </si>
  <si>
    <t>07b54cfa4ea9be899d500198225b8b57</t>
  </si>
  <si>
    <t>Bệnh viện đa khoa Tâm Trí Quảng Nam</t>
  </si>
  <si>
    <t>nhiễm trùng đường ruột, viêm loét miệng do tay chân miệng</t>
  </si>
  <si>
    <t>f25a8bff4ea9be899d5001981acf7f9f</t>
  </si>
  <si>
    <t>viêm mũi họng cấp- sốt cao khó hạ</t>
  </si>
  <si>
    <t>1fd42efe4ea9be899d50019817240a1a</t>
  </si>
  <si>
    <t>viem mui hong</t>
  </si>
  <si>
    <t>cff7fb674f8ebe899d5001981412f22f</t>
  </si>
  <si>
    <t>Phòng khám đa khoa (thuộc CTy TNHH PKĐK Đại Phước)</t>
  </si>
  <si>
    <t>Đau lưng; (M54;)</t>
  </si>
  <si>
    <t>Đau lưng</t>
  </si>
  <si>
    <t>Cơ xương khớp</t>
  </si>
  <si>
    <t>36-55</t>
  </si>
  <si>
    <t>e1d7b2fb4f8ebe899d500198140a3050</t>
  </si>
  <si>
    <t>Viêm kết mạc dị ứng cấp; (H10.1;)</t>
  </si>
  <si>
    <t>Viêm kết mạc dị ứng cấp</t>
  </si>
  <si>
    <t>b40939ff4f8ebe899d5001981400190a</t>
  </si>
  <si>
    <t>Nhiễm khuẩn hệ tiết niệu, vị trí không xác định; (N39.0;)</t>
  </si>
  <si>
    <t>Nhiễm khuẩn hệ tiết niệu, vị trí không xác định</t>
  </si>
  <si>
    <t>Thận/Tiết niệu</t>
  </si>
  <si>
    <t>99a9ca104f8ebe899d50019813f6310f</t>
  </si>
  <si>
    <t>Lẹo và chắp ; (H00;)</t>
  </si>
  <si>
    <t xml:space="preserve">Lẹo và chắp </t>
  </si>
  <si>
    <t>1e2a06ff4f8ebe899d500198123da9a1</t>
  </si>
  <si>
    <t>Viêm phế quản cấp, rối loạn chức năng ruột, sarcovid 2</t>
  </si>
  <si>
    <t>7bf3ffd54f8ebe899d50019810ebbc65</t>
  </si>
  <si>
    <t>nhiễm trùng đường hô hấp trên cấp ở nhiều nơi và vị trí không phân loại, TD khò khè, bs men</t>
  </si>
  <si>
    <t>999835d64f8ebe899d5001980c612cef</t>
  </si>
  <si>
    <t>Chốc (L01)</t>
  </si>
  <si>
    <t>b5ef14f94bffbe899d500197f8aeebf0</t>
  </si>
  <si>
    <t>viêm tieu phế quản cấp, nhiễm trùng đường hô hấp trên</t>
  </si>
  <si>
    <t>13e6dcf94bffbe899d50019804580c87</t>
  </si>
  <si>
    <t>Nhiễm trùng đường hô hấp, Viêm phế quản cấp</t>
  </si>
  <si>
    <t>02bafbfe4bffbe899d5001980415892a</t>
  </si>
  <si>
    <t>Bệnh viện Da liễu Hà Nội</t>
  </si>
  <si>
    <t>viêm da dị ứng tiếp xúc do kim loại (bội nhiễm)</t>
  </si>
  <si>
    <t>66400ac74bffbe899d500197ff34d6dd</t>
  </si>
  <si>
    <t>Nhiễm trùng đường hô hấp trên cấp, không phân loại (J06.9), Viêm tai giữa hai bên (H66.9)</t>
  </si>
  <si>
    <t>831ec6f94bffbe899d500197fa13de47</t>
  </si>
  <si>
    <t>Bệnh viện Da liễu trung ương</t>
  </si>
  <si>
    <t xml:space="preserve">tổ đỉa ( chàm dạng trứng sam) </t>
  </si>
  <si>
    <t>9f75ecd64bffbe899d500197f7b93a52</t>
  </si>
  <si>
    <t>Phòng khám đa khoa (thuộc CTCP Y khoa CHAC 2) cs 42 Đặng Văn Bi</t>
  </si>
  <si>
    <t>hen suyễn cơn nhẹ, bội nhiễm</t>
  </si>
  <si>
    <t>99939a314bffbe899d500197f7b15ff6</t>
  </si>
  <si>
    <t>7d4253fc5696be899d500197f4b4fed4</t>
  </si>
  <si>
    <t>nhiễm nấm da, vảy phấn trắng</t>
  </si>
  <si>
    <t>0e63a0ff5696be899d500197f373d51f</t>
  </si>
  <si>
    <t>b5affafb5696be899d500197ef0a143b</t>
  </si>
  <si>
    <t>Viêm amydan cấp + Rối loạn tiêu hoá</t>
  </si>
  <si>
    <t>9e990b435696be899d500197ed1f144c</t>
  </si>
  <si>
    <t>viêm phế quản cấp có giảm, rối loạn tiêu hóa không mất nước</t>
  </si>
  <si>
    <t>c90e59fb5696be899d500197ed176457</t>
  </si>
  <si>
    <t xml:space="preserve">nhiễm trùng đường hô hấp trên cấp ở nhiều nơi và vị trí không phân loại, viêm phế quản cấp </t>
  </si>
  <si>
    <t>717946e45696be899d500197e968bf99</t>
  </si>
  <si>
    <t>8686b6875696be899d500197e964d0a0</t>
  </si>
  <si>
    <t>6849cafc5696be899d500197e32d545d</t>
  </si>
  <si>
    <t>viêm họng cấp, khó tiêu chức năng</t>
  </si>
  <si>
    <t>2049a2fe5696be899d500197e28d45f7</t>
  </si>
  <si>
    <t>nhiễm trùng đường hô hấp trên cấp-TD viêm phổi</t>
  </si>
  <si>
    <t>97d17ef85696be899d500197e052a164</t>
  </si>
  <si>
    <t>Viêm ruột do rotavirus, COVID-19 xác định</t>
  </si>
  <si>
    <t>60a97b745696be899d500197e03f1322</t>
  </si>
  <si>
    <t>Viêm phổi - Rối loạn của cơ quan tiêu hoá khác</t>
  </si>
  <si>
    <t>054933fb5696be899d500197ddb86fc2</t>
  </si>
  <si>
    <t>Nhiễm trùng đường ruột do vi khuẩn khác</t>
  </si>
  <si>
    <t>eeb859fe5696be899d500197d8841f67</t>
  </si>
  <si>
    <t>Viêm kết mạc, suy dinh dưỡng vừa do thiếu protein năng lượng</t>
  </si>
  <si>
    <t>082b38fe5696be899d500197d4b54dcb</t>
  </si>
  <si>
    <t>nhiễm trùng đường hô hấp trên cấp, không phân loại</t>
  </si>
  <si>
    <t>e672f4fa1644be899d500197cfdb5b6e</t>
  </si>
  <si>
    <t>d459f8e51644be899d500197cf14573c</t>
  </si>
  <si>
    <t>tái khám</t>
  </si>
  <si>
    <t>fd7812f91644be899d500197ce5775fc</t>
  </si>
  <si>
    <t>Viêm phế quản khò khè, viêm mũi họng, nút Ráy tai</t>
  </si>
  <si>
    <t>ca7c7afa1644be899d500197ce325faf</t>
  </si>
  <si>
    <t>Trung tâm Bác sĩ gia đình</t>
  </si>
  <si>
    <t>viêm tai giữa+ cúm A</t>
  </si>
  <si>
    <t>315c6afd1644be899d500197ce26addd</t>
  </si>
  <si>
    <t xml:space="preserve">viêm phế quản phổi, viêm tai giữa </t>
  </si>
  <si>
    <t>8fb51d531644be899d500197ce1d925d</t>
  </si>
  <si>
    <t>nhiễm virus ở vị trí không xác định, phát ban, sốt n2</t>
  </si>
  <si>
    <t>fa9d8dfe1644be899d500197ce20bdfa</t>
  </si>
  <si>
    <t>áp xe da</t>
  </si>
  <si>
    <t>9a6904fe1644be899d500197ce19402b</t>
  </si>
  <si>
    <t>áp xe góc hàm</t>
  </si>
  <si>
    <t>Viêm họng cấp, không đặc hiệu (j02.9), rối loạn tiêu hoá (k30)</t>
  </si>
  <si>
    <t>Nhiễm trùng đường ruột do vi khuẩn</t>
  </si>
  <si>
    <t>Rối loạn tiêu hoá-viêm phế quản</t>
  </si>
  <si>
    <t>Bệnh tay chân miệng độ 1 ngày 9 - nhiễm trùng đường ruột do vi khuẩn</t>
  </si>
  <si>
    <t>Viên phế quản phổi, viêm tai giữa ứ dịch 2 bên, viêm mũi họng amidan cấp, nấm miệng, rối loạn tiêu hoá</t>
  </si>
  <si>
    <t>Viêm thanh quản cấp (j04.0) viêm mũi họng cấp j00</t>
  </si>
  <si>
    <t>Bệnh tay chân miệng độ 1 ngày 6 - nhiễm trùng đường ruột do vi khuẩn</t>
  </si>
  <si>
    <t>Viêm phế quản cấp, tay chân miệng, viêm amydan, viêm v.a cấp</t>
  </si>
  <si>
    <t>Viêm họng, viêm amidan, viêm phế quan, nhiễm khuẩn nặng</t>
  </si>
  <si>
    <t>Dị ứng nổi mảng đỏ</t>
  </si>
  <si>
    <t>Viêm mũi họng/ trào ngược dạ dày thực quản</t>
  </si>
  <si>
    <t>Viêm mũi họng - viêm amidan mủ</t>
  </si>
  <si>
    <t xml:space="preserve">Ban đỏ ctnn, td tay chân miệng độ i </t>
  </si>
  <si>
    <t>Viêm phế quản cấp (viêm mũi họng)</t>
  </si>
  <si>
    <t>Viêm ruột, viêm tai giữa</t>
  </si>
  <si>
    <t>Viêm mũi họng cấp bội nhiễm. viêm mũi dị ứng</t>
  </si>
  <si>
    <t>Viêm phế quản cấp</t>
  </si>
  <si>
    <t>Viêm tiểu phế quản cấp</t>
  </si>
  <si>
    <t>Viêm amyđan cấp</t>
  </si>
  <si>
    <t>Thai 07 tuần 05 ngày doạ xảy/ dị ứng chưa rõ nguyên nhân, polyp cổ tử cung</t>
  </si>
  <si>
    <t>Viêm tai giữa cấp mũ bên trái, chấm xuất huyết dưới da</t>
  </si>
  <si>
    <t>Viêm phế quản cấp + thở khò khè</t>
  </si>
  <si>
    <t>Tay chân miệng</t>
  </si>
  <si>
    <t>Khó tiêu chức năng</t>
  </si>
  <si>
    <t>Tay chân miệng độ iia, ngày 2</t>
  </si>
  <si>
    <t>J00, r06.2</t>
  </si>
  <si>
    <t>Nhiễm trùng đường ruột đỡ giảm</t>
  </si>
  <si>
    <t>Viêm hô hấp trên, viêm kết mạc</t>
  </si>
  <si>
    <t>Viêm tiểu phế quản</t>
  </si>
  <si>
    <t>Viêm tiểu phế quản cấp - viêm mũi họng cấp</t>
  </si>
  <si>
    <t>Tay chân miệng độ i</t>
  </si>
  <si>
    <t>Viêm mũi họng cấp [ cảm thường ] bội nhiễm - táo bón</t>
  </si>
  <si>
    <t>B08.8- nhiễm virus xác định khác có biểu hiện tổn thương tại da và niêm mạc - độ 1 n2</t>
  </si>
  <si>
    <t>Viêm tai giữa cấp mủ, tạm ổn</t>
  </si>
  <si>
    <t>Viêm phế quản cấp, sẩn ngứa, bệnh trào ngươic dạ dày, thực quản</t>
  </si>
  <si>
    <t>Viêm họng viêm phế quản</t>
  </si>
  <si>
    <t>Bé sốt cao kèm tiêu chảy tại nhà hai ngày nhưng không bớt nên được đưa vào viện. tại đây các bác sĩ kiểm tra và chuẩn đoán bé bị nhiễm trùng đường hô hấp cấp trên, nhiễm trùng đường ruột do vi khuẩn không xác định, rối loạn cân bằng điện gioả và nước chưa được phân loại ở phần khác, viêm da cơ địa khác.</t>
  </si>
  <si>
    <t>Viêm tai giữa chảy mủ bên trái</t>
  </si>
  <si>
    <t>Viêm phế quản cấp, viêm tai giữa ứ mủ phải</t>
  </si>
  <si>
    <t>Viêm v.a cấp, viêm amydal, rối loạn chức năng ruột</t>
  </si>
  <si>
    <t>Viêm mũi họng - táo bón</t>
  </si>
  <si>
    <t>Viêm họng/sốt ngày 1</t>
  </si>
  <si>
    <t>Viêm mũi họng, sốt n3</t>
  </si>
  <si>
    <t>Viêm phế quản phổi, hen</t>
  </si>
  <si>
    <t>Viêm phế quản cấp, nhiễm trùng đường hô hấp trên cấp, rối loạn tiêu hoá</t>
  </si>
  <si>
    <t>Gãy 1/3 dưới 2 xương cẳng tay phải</t>
  </si>
  <si>
    <t>Chấn thương bàn tay p</t>
  </si>
  <si>
    <t>Viêm phổi do virus hợp bào hô hấp</t>
  </si>
  <si>
    <t>Viêm phế quản cấp- covid 19</t>
  </si>
  <si>
    <t>Viêm phế quản phổi - covid 19</t>
  </si>
  <si>
    <t>Khám lại sau ra viện chuẩn đoán tiêu chảy cấp, viêm mũi họng cấp, viêm tai giữa ứ mủ 2 bên</t>
  </si>
  <si>
    <t>Tiêu chảy cấp, viêm mũi họng cấp, viêm tai giữa</t>
  </si>
  <si>
    <t xml:space="preserve">Viêm tiểu phế quản bội nhiễm, viêm thanh quản, viêm mũi họng, rsv </t>
  </si>
  <si>
    <t>Viêm hồi manh tràng</t>
  </si>
  <si>
    <t>Ho - nhiễm virus không xác định</t>
  </si>
  <si>
    <t>Viêm họng cấp, viêm dạ dày ruột và đại tràng</t>
  </si>
  <si>
    <t>Sốt đầu ngày 3 chưa loại trừ sốt xuất huyết</t>
  </si>
  <si>
    <t>Nhiễm siêu vi</t>
  </si>
  <si>
    <t xml:space="preserve">Viêm tiểu phế quản </t>
  </si>
  <si>
    <t>Sốt virus</t>
  </si>
  <si>
    <t xml:space="preserve">Viêm hạch góc hàm </t>
  </si>
  <si>
    <t>Tiêu chảy rối loạn chức năng</t>
  </si>
  <si>
    <t xml:space="preserve">Viêm ruột do adenovirus </t>
  </si>
  <si>
    <t>Viêm phế quản - td gerd</t>
  </si>
  <si>
    <t>Viêm a cấp mủ</t>
  </si>
  <si>
    <t>Sưng phần mềm vùng trán do chấn thương</t>
  </si>
  <si>
    <t>Nhiễm trùng đường ruột, viêm loét miệng do tay chân miệng</t>
  </si>
  <si>
    <t>Viêm mũi họng cấp- sốt cao khó hạ</t>
  </si>
  <si>
    <t>Viem mui hong</t>
  </si>
  <si>
    <t>Nhiễm trùng đường hô hấp trên cấp ở nhiều nơi và vị trí không phân loại, td khò khè, bs men</t>
  </si>
  <si>
    <t>Chốc (l01)</t>
  </si>
  <si>
    <t>Viêm tieu phế quản cấp, nhiễm trùng đường hô hấp trên</t>
  </si>
  <si>
    <t>Nhiễm trùng đường hô hấp, viêm phế quản cấp</t>
  </si>
  <si>
    <t>Viêm da dị ứng tiếp xúc do kim loại (bội nhiễm)</t>
  </si>
  <si>
    <t>Nhiễm trùng đường hô hấp trên cấp, không phân loại (j06.9), viêm tai giữa hai bên (h66.9)</t>
  </si>
  <si>
    <t xml:space="preserve">Tổ đỉa ( chàm dạng trứng sam) </t>
  </si>
  <si>
    <t>Hen suyễn cơn nhẹ, bội nhiễm</t>
  </si>
  <si>
    <t>Nhiễm nấm da, vảy phấn trắng</t>
  </si>
  <si>
    <t>Viêm amydan cấp + rối loạn tiêu hoá</t>
  </si>
  <si>
    <t>Viêm phế quản cấp có giảm, rối loạn tiêu hóa không mất nước</t>
  </si>
  <si>
    <t xml:space="preserve">Nhiễm trùng đường hô hấp trên cấp ở nhiều nơi và vị trí không phân loại, viêm phế quản cấp </t>
  </si>
  <si>
    <t>Viêm họng cấp, khó tiêu chức năng</t>
  </si>
  <si>
    <t>Nhiễm trùng đường hô hấp trên cấp-td viêm phổi</t>
  </si>
  <si>
    <t>Viêm ruột do rotavirus, covid-19 xác định</t>
  </si>
  <si>
    <t>Viêm phổi - rối loạn của cơ quan tiêu hoá khác</t>
  </si>
  <si>
    <t>Nhiễm trùng đường hô hấp trên cấp, không phân loại</t>
  </si>
  <si>
    <t>Tái khám</t>
  </si>
  <si>
    <t>Viêm phế quản khò khè, viêm mũi họng, nút ráy tai</t>
  </si>
  <si>
    <t>Viêm tai giữa+ cúm a</t>
  </si>
  <si>
    <t xml:space="preserve">Viêm phế quản phổi, viêm tai giữa </t>
  </si>
  <si>
    <t>Nhiễm virus ở vị trí không xác định, phát ban, sốt n2</t>
  </si>
  <si>
    <t>Áp xe da</t>
  </si>
  <si>
    <t>Áp xe góc hàm</t>
  </si>
  <si>
    <t>contractObjectId</t>
  </si>
  <si>
    <t>5af763f83815be899d50019878e5ffef</t>
  </si>
  <si>
    <t>43504efd7f8bbe899d50019449ba5778</t>
  </si>
  <si>
    <t>1136ccf87a1bbe899d50019753f4db5d</t>
  </si>
  <si>
    <t>3ecf7efb75c8be899d5001956abd408b</t>
  </si>
  <si>
    <t>e7056dfc7b61be899d500195376d0bdf</t>
  </si>
  <si>
    <t>8cee67fa1e92be899d500196e8e71072</t>
  </si>
  <si>
    <t>b4041b76168ebe899d5001934d218ce9</t>
  </si>
  <si>
    <t>1f9f9507168ebe899d500193af9b883f</t>
  </si>
  <si>
    <t>82097e071eecbe899d500194f39980eb</t>
  </si>
  <si>
    <t>2a6826fb6fcbbe899d500195fac295c7</t>
  </si>
  <si>
    <t>b1231cb26fcbbe899d500195ec39357c</t>
  </si>
  <si>
    <t>87ee5bfa54ccbe899d50019521552f30</t>
  </si>
  <si>
    <t>05e1b2f96fcbbe899d500196a384aa24</t>
  </si>
  <si>
    <t>f94258d56fcbbe899d50019652e38cb4</t>
  </si>
  <si>
    <t>a35827ff1eecbe899d5001951229a4b9</t>
  </si>
  <si>
    <t>769306fa75c8be899d5001954b3db504</t>
  </si>
  <si>
    <t>fb9ba0016fcbbe899d500195d178a84f</t>
  </si>
  <si>
    <t>2dd6adf86fcbbe899d500195dc559f2c</t>
  </si>
  <si>
    <t>1296ce307a1bbe899d50019734e1043b</t>
  </si>
  <si>
    <t>389a40fa6fcbbe899d500195effc1e6e</t>
  </si>
  <si>
    <t>3cce602175c8be899d5001954f974cbe</t>
  </si>
  <si>
    <t>776ac0c37a13be899d5001948d5f03c1</t>
  </si>
  <si>
    <t>8c81c1fd7a1bbe899d5001978716e584</t>
  </si>
  <si>
    <t>8a2131346fcbbe899d500195c2f674a2</t>
  </si>
  <si>
    <t>2ffc5971401abe899d5001921ce3bde1</t>
  </si>
  <si>
    <t>fc8982d77a1bbe899d50019755120dc2</t>
  </si>
  <si>
    <t>923e1995230dbe899d500193203e09a7</t>
  </si>
  <si>
    <t>0f6f0b43168ebe899d5001936118b993</t>
  </si>
  <si>
    <t>88e3a3fc168ebe899d500193611f734e</t>
  </si>
  <si>
    <t>8096c7f95696be899d500197e973ed1d</t>
  </si>
  <si>
    <t>67c34f415c0fbe899d500195884b8613</t>
  </si>
  <si>
    <t>20abfffc49d9be899d500193f6e88743</t>
  </si>
  <si>
    <t>4d63b7676fcbbe899d50019639b8383e</t>
  </si>
  <si>
    <t>4669c6f00b6dbe899d50019275362a80</t>
  </si>
  <si>
    <t>81e68b947b61be899d50019535db761f</t>
  </si>
  <si>
    <t>0c7008626fcbbe899d50019694457af4</t>
  </si>
  <si>
    <t>39a0e8937b61be899d500195426b8fd0</t>
  </si>
  <si>
    <t>76a55cff776bbe899d5001972648ad78</t>
  </si>
  <si>
    <t>a414dcfd54ccbe899d50019526e994c2</t>
  </si>
  <si>
    <t>99de7a331eecbe899d500195139d443d</t>
  </si>
  <si>
    <t>017563ff54ccbe899d50019526ed9acb</t>
  </si>
  <si>
    <t>aa702dfa3edbbe899d500192956dd672</t>
  </si>
  <si>
    <t>27b18cff1644be899d500197b5bb1a58</t>
  </si>
  <si>
    <t>d208cf90022ebe899d500192ec7d561d</t>
  </si>
  <si>
    <t>7d6f18a754ccbe899d500195265765e1</t>
  </si>
  <si>
    <t>a85b4efc168ebe899d5001938674e47f</t>
  </si>
  <si>
    <t>3d98d7c717bdbe899d500194a176e226</t>
  </si>
  <si>
    <t>e0107413022ebe899d500192bd8e48bd</t>
  </si>
  <si>
    <t>35aa204052b9be899d5001951de05882</t>
  </si>
  <si>
    <t>1bc811e317bdbe899d500194a17cd0bd</t>
  </si>
  <si>
    <t>aba048ff6fcbbe899d50019632f32186</t>
  </si>
  <si>
    <t>befb8cfb5c0fbe899d5001957e4bea14</t>
  </si>
  <si>
    <t>1936a0fd6fcbbe899d50019657f646ef</t>
  </si>
  <si>
    <t>7f139ef96fcbbe899d500195fa12ebd8</t>
  </si>
  <si>
    <t>e90a4047168ebe899d500193ac0c0204</t>
  </si>
  <si>
    <t>d75fe1fb1e92be899d500196bedb9a3c</t>
  </si>
  <si>
    <t>8c83e5746fcbbe899d5001967f988ffa</t>
  </si>
  <si>
    <t>4c4147fa75c8be899d50019565f80890</t>
  </si>
  <si>
    <t>79f4c221357cbe899d50019106914d0f</t>
  </si>
  <si>
    <t>2868bd4249d9be899d50019416575913</t>
  </si>
  <si>
    <t>8197adfc1e92be899d500196d1f834d3</t>
  </si>
  <si>
    <t>b999ba106fcbbe899d5001960a90e237</t>
  </si>
  <si>
    <t>d4af03f86fcbbe899d500196569ba66c</t>
  </si>
  <si>
    <t>fc2c0781776bbe899d50019724a6f40b</t>
  </si>
  <si>
    <t>d7143ff86fcbbe899d500195db197d61</t>
  </si>
  <si>
    <t>365868007a1bbe899d50019768210ff8</t>
  </si>
  <si>
    <t>149564727a1bbe899d5001976d387bfe</t>
  </si>
  <si>
    <t>eeda6213022ebe899d500192b7b844c8</t>
  </si>
  <si>
    <t>318252fa357cbe899d500191069214ab</t>
  </si>
  <si>
    <t>c84388ff5d37be899d500190defa11c8</t>
  </si>
  <si>
    <t>f45b5fd2230dbe899d5001931a50be88</t>
  </si>
  <si>
    <t>9801a7f86fcbbe899d50019647c27fea</t>
  </si>
  <si>
    <t>4a0b17fe7b61be899d500195374d3588</t>
  </si>
  <si>
    <t>4e1114fe7a13be899d5001945ebf613a</t>
  </si>
  <si>
    <t>409485fe5284be899d500193cd99960b</t>
  </si>
  <si>
    <t>cca7a225087cbe899d500190a536984a</t>
  </si>
  <si>
    <t>f3e0bde16fcbbe899d500195da7710a7</t>
  </si>
  <si>
    <t>6d453ae2357cbe899d50019111a827db</t>
  </si>
  <si>
    <t>peopleCityCode</t>
  </si>
  <si>
    <t>peopleCity</t>
  </si>
  <si>
    <t>compensationRate</t>
  </si>
  <si>
    <t>0f2c16f83815be899d50019878e5ffe2</t>
  </si>
  <si>
    <t>f784f0fc7f8bbe899d50019449ba576b</t>
  </si>
  <si>
    <t>7a9e22a67a1bbe899d50019753f4da8e</t>
  </si>
  <si>
    <t>9738e3f975c8be899d5001956abd3fd9</t>
  </si>
  <si>
    <t>9c3910fb7b61be899d500195376d0bcd</t>
  </si>
  <si>
    <t>31232afa1e92be899d500196e8e71058</t>
  </si>
  <si>
    <t>6938cdb5168ebe899d5001934d218cda</t>
  </si>
  <si>
    <t>c3d35846168ebe899d500193af9b8828</t>
  </si>
  <si>
    <t>373d21561eecbe899d500194f39980db</t>
  </si>
  <si>
    <t>de9cd8fa6fcbbe899d500195fac295b6</t>
  </si>
  <si>
    <t>1b8b71416fcbbe899d500195ec3934c0</t>
  </si>
  <si>
    <t>e057c0f954ccbe899d50019521552e55</t>
  </si>
  <si>
    <t>b91665f96fcbbe899d500196a384aa10</t>
  </si>
  <si>
    <t>53babd546fcbbe899d50019652e38bf6</t>
  </si>
  <si>
    <t>0db09cfe1eecbe899d5001951229a40c</t>
  </si>
  <si>
    <t>dffb6bf875c8be899d5001954b3db456</t>
  </si>
  <si>
    <t>550416ff6fcbbe899d500195d178a774</t>
  </si>
  <si>
    <t>864f03c66fcbbe899d500195dc559e7b</t>
  </si>
  <si>
    <t>7bfe24fe7a1bbe899d50019734e1036c</t>
  </si>
  <si>
    <t>9103b5f96fcbbe899d500195effc1db7</t>
  </si>
  <si>
    <t>9537d5ff75c8be899d5001954f974bf8</t>
  </si>
  <si>
    <t>d0d236427a13be899d5001948d5f0310</t>
  </si>
  <si>
    <t>e5f927fb7a1bbe899d5001978716e4c5</t>
  </si>
  <si>
    <t>3f55e3736fcbbe899d500195c2f67491</t>
  </si>
  <si>
    <t>8865ceff401abe899d5001921ce3bd0e</t>
  </si>
  <si>
    <t>56f1f7567a1bbe899d50019755120ce0</t>
  </si>
  <si>
    <t>fb968e14230dbe899d500193203e08f6</t>
  </si>
  <si>
    <t>b3a3cd82168ebe899d5001936118b984</t>
  </si>
  <si>
    <t>3d1856fb168ebe899d500193611f7340</t>
  </si>
  <si>
    <t>e9fe2df85696be899d500197e973ec64</t>
  </si>
  <si>
    <t>c03ca4ff5c0fbe899d500195884b852d</t>
  </si>
  <si>
    <t>d4dfa2fb49d9be899d500193f6e88734</t>
  </si>
  <si>
    <t>f1a76aa66fcbbe899d50019639b83821</t>
  </si>
  <si>
    <t>fa9d79300b6dbe899d50019275362a72</t>
  </si>
  <si>
    <t>ea4fe0237b61be899d50019535db7570</t>
  </si>
  <si>
    <t>65e86de06fcbbe899d50019694457a2f</t>
  </si>
  <si>
    <t>92194e127b61be899d500195426b8f1b</t>
  </si>
  <si>
    <t>2bd90ffe776bbe899d5001972648ad63</t>
  </si>
  <si>
    <t>59488ffc54ccbe899d50019526e994b3</t>
  </si>
  <si>
    <t>f247efb11eecbe899d500195139d4390</t>
  </si>
  <si>
    <t>b5a916fe54ccbe899d50019526ed9aba</t>
  </si>
  <si>
    <t>5fa4dff93edbbe899d500192956dd664</t>
  </si>
  <si>
    <t>dbe53fff1644be899d500197b5bb1a4b</t>
  </si>
  <si>
    <t>3c6035ff022ebe899d500192ec7d5566</t>
  </si>
  <si>
    <t>d6d78d2654ccbe899d50019526576530</t>
  </si>
  <si>
    <t>5d8ff0fb168ebe899d5001938674e470</t>
  </si>
  <si>
    <t>e1dc8a0717bdbe899d500194a176e20d</t>
  </si>
  <si>
    <t>4a78d991022ebe899d500192bd8e4814</t>
  </si>
  <si>
    <t>9e0395fe52b9be899d5001951de057ca</t>
  </si>
  <si>
    <t>cffcc32317bdbe899d500194a17cd0ae</t>
  </si>
  <si>
    <t>0519adfd6fcbbe899d50019632f320cc</t>
  </si>
  <si>
    <t>1864f1fa5c0fbe899d5001957e4be942</t>
  </si>
  <si>
    <t>cd6a53fc6fcbbe899d50019657f646df</t>
  </si>
  <si>
    <t>d88bf3f86fcbbe899d500195fa12eb17</t>
  </si>
  <si>
    <t>9e3ef286168ebe899d500193ac0c01f7</t>
  </si>
  <si>
    <t>8c83a4fa1e92be899d500196bedb9a29</t>
  </si>
  <si>
    <t>e5fb4bf26fcbbe899d5001967f988f3f</t>
  </si>
  <si>
    <t>a5b9acf875c8be899d50019565f807d2</t>
  </si>
  <si>
    <t>2e297560357cbe899d50019106914d00</t>
  </si>
  <si>
    <t>dc9c609149d9be899d50019416575906</t>
  </si>
  <si>
    <t>eaff03fa1e92be899d500196d1f8341e</t>
  </si>
  <si>
    <t>130220fe6fcbbe899d5001960a90e183</t>
  </si>
  <si>
    <t>3e0878576fcbbe899d500196569ba5b1</t>
  </si>
  <si>
    <t>a160c9c0776bbe899d50019724a6f3fd</t>
  </si>
  <si>
    <t>8c48e1e76fcbbe899d500195db197d4e</t>
  </si>
  <si>
    <t>9fb0ddfe7a1bbe899d50019768210f39</t>
  </si>
  <si>
    <t>7dfdc9f07a1bbe899d5001976d387b48</t>
  </si>
  <si>
    <t>931f1552022ebe899d500192b7b844b9</t>
  </si>
  <si>
    <t>e5b605f9357cbe899d5001910692149b</t>
  </si>
  <si>
    <t>7d773bff5d37be899d500190defa11b5</t>
  </si>
  <si>
    <t>a98f0222230dbe899d5001931a50be79</t>
  </si>
  <si>
    <t>4d355ae76fcbbe899d50019647c27fd9</t>
  </si>
  <si>
    <t>a3738cfc7b61be899d500195374d34be</t>
  </si>
  <si>
    <t>f255c6fd7a13be899d5001945ebf612c</t>
  </si>
  <si>
    <t>f4c838fe5284be899d500193cd9995fe</t>
  </si>
  <si>
    <t>71eb5564087cbe899d500190a536983d</t>
  </si>
  <si>
    <t>5d4913706fcbbe899d500195da770fe9</t>
  </si>
  <si>
    <t>c6bd9f61357cbe899d50019111a8272b</t>
  </si>
  <si>
    <t>contractId</t>
  </si>
  <si>
    <t>contractStartDate</t>
  </si>
  <si>
    <t>claimStartDate</t>
  </si>
  <si>
    <t>00ef5bfd087cbe899d5001909189131e</t>
  </si>
  <si>
    <t>02afe4643f13be899d500189b53d45a6</t>
  </si>
  <si>
    <t>08093cd26a92be899d50018a72ddfecd</t>
  </si>
  <si>
    <t>0bd22bfd1018be899d50018cfcb88048</t>
  </si>
  <si>
    <t>0c4023fa5893be899d50018738344f60</t>
  </si>
  <si>
    <t>13a313964e44be899d50018a03012090</t>
  </si>
  <si>
    <t>14f057fe7652be899d500191c58ebb58</t>
  </si>
  <si>
    <t>190f01fd34f5be899d50018c4c1be69d</t>
  </si>
  <si>
    <t>19d7a7fc6fcbbe899d500195ac697398</t>
  </si>
  <si>
    <t>1b7d12f86fcbbe899d50019661a3af3f</t>
  </si>
  <si>
    <t>1e3bc9fd1018be899d50018d1fdbda64</t>
  </si>
  <si>
    <t>1e7dc8536fcbbe899d50019637826f26</t>
  </si>
  <si>
    <t>23777dfd496ebe899d50018b5044a235</t>
  </si>
  <si>
    <t>28787afc289ebe899d500193d89cab10</t>
  </si>
  <si>
    <t>293242b737e7be899d50018967a5e15f</t>
  </si>
  <si>
    <t>2a3393e07b61be899d5001952e0c9f94</t>
  </si>
  <si>
    <t>2e8decfc7f8bbe899d500194452c8377</t>
  </si>
  <si>
    <t>30d713fa357cbe899d50019107989e65</t>
  </si>
  <si>
    <t>34e539a237e7be899d500189633749a2</t>
  </si>
  <si>
    <t>35d8b7ff0198be899d50018c866cafca</t>
  </si>
  <si>
    <t>384e6dff14d0be899d50018f941b565d</t>
  </si>
  <si>
    <t>4a7577f70584be899d50018fe75886aa</t>
  </si>
  <si>
    <t>4d9ba991087cbe899d500190b43fe362</t>
  </si>
  <si>
    <t>55e0d6fe75c8be899d50019547527763</t>
  </si>
  <si>
    <t>5676d2fe6fcbbe899d500195d1b30230</t>
  </si>
  <si>
    <t>5d1cd0c651fcbe899d5001900add31f5</t>
  </si>
  <si>
    <t>642b2fe30b6dbe899d50019264bd2d27</t>
  </si>
  <si>
    <t>684137f9087cbe899d500190aaa98860</t>
  </si>
  <si>
    <t>68a2b4ff51fcbe899d50019010afa26f</t>
  </si>
  <si>
    <t>6bb99a46022ebe899d500192bda24dcb</t>
  </si>
  <si>
    <t>6d6c90f91c70be899d5001915407a08f</t>
  </si>
  <si>
    <t>6e1794e475c8be899d500195641cd4d4</t>
  </si>
  <si>
    <t>70b0abfd0a70be899d50018874b0cc4c</t>
  </si>
  <si>
    <t>72a242276fcbbe899d50019629310b7c</t>
  </si>
  <si>
    <t>73871aff6fcbbe899d500195b2ad77e7</t>
  </si>
  <si>
    <t>751fca165893be899d500186d9fc53e4</t>
  </si>
  <si>
    <t>7d466cfa0ccbbe899d50018acbbced87</t>
  </si>
  <si>
    <t>7e017b475dbebe899d50018a26409b98</t>
  </si>
  <si>
    <t>7ecf67fc5e40be899d500193b9f97f97</t>
  </si>
  <si>
    <t>82c3e5fe52b9be899d50019518b3d9c6</t>
  </si>
  <si>
    <t>83528efa0b09be899d50018ee08809e9</t>
  </si>
  <si>
    <t>8c332937022ebe899d500192faf94729</t>
  </si>
  <si>
    <t>940e22607ac5be899d50018cf15c3c55</t>
  </si>
  <si>
    <t>991b61601cb8be899d50018e7b59f23d</t>
  </si>
  <si>
    <t>9fe7de511c70be899d50019154119ec6</t>
  </si>
  <si>
    <t>a03953d30a70be899d50018919d9303c</t>
  </si>
  <si>
    <t>a0c60bfb0a70be899d5001893ec62cb0</t>
  </si>
  <si>
    <t>a62f30347652be899d500191e44f77ef</t>
  </si>
  <si>
    <t>a8efbdfa087cbe899d50019091391ade</t>
  </si>
  <si>
    <t>b2eae1fb168ebe899d5001936242ffe7</t>
  </si>
  <si>
    <t>b402b2fc230dbe899d5001932fe474b4</t>
  </si>
  <si>
    <t>b55de2ff230dbe899d500193397d3430</t>
  </si>
  <si>
    <t>b97a8efe12debe899d50018bd1b27799</t>
  </si>
  <si>
    <t>bf3e8052084abe899d50018cd8b0b121</t>
  </si>
  <si>
    <t>c2b2a2ff168ebe899d500193619563f9</t>
  </si>
  <si>
    <t>c310cff80ccbbe899d50018ab082affb</t>
  </si>
  <si>
    <t>c55c20e237e7be899d500189968913f6</t>
  </si>
  <si>
    <t>c7b69ab214d0be899d50018fa9f41d64</t>
  </si>
  <si>
    <t>c85bc2fc6fcbbe899d500195a6f146ef</t>
  </si>
  <si>
    <t>c922de8423a6be899d50018e40293796</t>
  </si>
  <si>
    <t>c9b98dfc230dbe899d50019342727337</t>
  </si>
  <si>
    <t>cfee02f96fcbbe899d5001960e6388ab</t>
  </si>
  <si>
    <t>d46ffefe12debe899d50018b89a50cfc</t>
  </si>
  <si>
    <t>d59b6aff4e44be899d500189e7bdfbb3</t>
  </si>
  <si>
    <t>dbad37fb7a13be899d50019474c1e36c</t>
  </si>
  <si>
    <t>dc7651e63f13be899d500189b542c64f</t>
  </si>
  <si>
    <t>e0bb18766334be899d50018ebb9dac39</t>
  </si>
  <si>
    <t>e4ed3ef951fcbe899d5001902e6fb895</t>
  </si>
  <si>
    <t>eb1017fc4703be899d50018d54564820</t>
  </si>
  <si>
    <t>ecf7d1fa0b6dbe899d50019266c5b38b</t>
  </si>
  <si>
    <t>f0133df812debe899d50018bd1c4c536</t>
  </si>
  <si>
    <t>f1f2b4b349d9be899d500193f6e24ca4</t>
  </si>
  <si>
    <t>f2d114fc12debe899d50018bc71c88e5</t>
  </si>
  <si>
    <t>fa60de00617bbe899d50019193441e2e</t>
  </si>
  <si>
    <t>fa7874a56fcbbe899d500196377956ea</t>
  </si>
  <si>
    <t>fd6b6ffd617bbe899d5001919dfd347a</t>
  </si>
  <si>
    <t>ff96bcfc169ebe899d50018e98b01664</t>
  </si>
  <si>
    <t>day</t>
  </si>
  <si>
    <t>clinics</t>
  </si>
  <si>
    <t>claimMonth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</si>
</sst>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hh:mm:ss"/>
  </numFmts>
  <fonts count="4" x14ac:knownFonts="1">
    <font>
      <sz val="11"/>
      <color theme="1"/>
      <name val="Calibri"/>
      <family val="2"/>
      <scheme val="minor"/>
    </font>
    <font>
      <b/>
      <sz val="11"/>
      <name val="Calibri"/>
      <family val="2"/>
    </font>
    <font>
      <b/>
      <sz val="11"/>
      <color theme="1"/>
      <name val="Calibri"/>
      <family val="2"/>
      <scheme val="minor"/>
    </font>
    <font>
      <b/>
      <sz val="11"/>
      <name val="Calibri"/>
      <family val="2"/>
    </font>
  </fonts>
  <fills count="2">
    <fill>
      <patternFill patternType="none"/>
    </fill>
    <fill>
      <patternFill patternType="gray125"/>
    </fill>
  </fills>
  <borders count="4">
    <border>
      <left/>
      <right/>
      <top/>
      <bottom/>
      <diagonal/>
    </border>
    <border>
      <left style="thin">
        <color auto="1"/>
      </left>
      <right style="thin">
        <color auto="1"/>
      </right>
      <top style="thin">
        <color auto="1"/>
      </top>
      <bottom style="thin">
        <color auto="1"/>
      </bottom>
      <diagonal/>
    </border>
    <border>
      <left style="thin">
        <color auto="1"/>
      </left>
      <right/>
      <top/>
      <bottom/>
      <diagonal/>
    </border>
    <border>
      <left style="thin">
        <color auto="1"/>
      </left>
      <right style="thin">
        <color auto="1"/>
      </right>
      <top/>
      <bottom style="thin">
        <color indexed="64"/>
      </bottom>
      <diagonal/>
    </border>
  </borders>
  <cellStyleXfs count="1">
    <xf numFmtId="0" fontId="0" fillId="0" borderId="0"/>
  </cellStyleXfs>
  <cellXfs count="13">
    <xf numFmtId="0" fontId="0" fillId="0" borderId="0" xfId="0"/>
    <xf numFmtId="0" fontId="1" fillId="0" borderId="1" xfId="0" applyFont="1" applyBorder="1" applyAlignment="1">
      <alignment horizontal="center" vertical="top"/>
    </xf>
    <xf numFmtId="164" fontId="0" fillId="0" borderId="0" xfId="0" applyNumberFormat="1"/>
    <xf numFmtId="22" fontId="0" fillId="0" borderId="0" xfId="0" applyNumberFormat="1"/>
    <xf numFmtId="0" fontId="1" fillId="0" borderId="2" xfId="0" applyFont="1" applyBorder="1" applyAlignment="1">
      <alignment horizontal="center" vertical="top"/>
    </xf>
    <xf numFmtId="0" fontId="2" fillId="0" borderId="0" xfId="0" applyFont="1"/>
    <xf numFmtId="0" fontId="2" fillId="0" borderId="3" xfId="0" applyFont="1" applyBorder="1"/>
    <xf numFmtId="0" fontId="3" fillId="0" borderId="1" xfId="0" applyFont="1" applyBorder="1" applyAlignment="1">
      <alignment horizontal="center" vertical="top"/>
    </xf>
    <xf numFmtId="14" fontId="0" fillId="0" borderId="0" xfId="0" applyNumberFormat="1"/>
    <xf numFmtId="14" fontId="2" fillId="0" borderId="0" xfId="0" applyNumberFormat="1" applyFont="1"/>
    <xf numFmtId="11" fontId="0" fillId="0" borderId="0" xfId="0" applyNumberFormat="1"/>
    <xf numFmtId="3" fontId="0" fillId="0" borderId="0" xfId="0" applyNumberFormat="1"/>
    <xf numFmtId="0" fontId="1" fillId="0" borderId="2" xfId="0" applyFont="1" applyFill="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eetMetadata" Target="metadata.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H189"/>
  <sheetViews>
    <sheetView tabSelected="1" topLeftCell="H1" workbookViewId="0">
      <selection activeCell="X2" sqref="X2"/>
    </sheetView>
  </sheetViews>
  <sheetFormatPr defaultRowHeight="14.4" x14ac:dyDescent="0.3"/>
  <cols>
    <col min="1" max="1" width="4" bestFit="1" customWidth="1"/>
    <col min="2" max="2" width="33.6640625" bestFit="1" customWidth="1"/>
    <col min="3" max="3" width="12.33203125" bestFit="1" customWidth="1"/>
    <col min="4" max="4" width="20.109375" bestFit="1" customWidth="1"/>
    <col min="5" max="5" width="18.109375" bestFit="1" customWidth="1"/>
    <col min="6" max="6" width="19.88671875" bestFit="1" customWidth="1"/>
    <col min="7" max="7" width="57" bestFit="1" customWidth="1"/>
    <col min="8" max="8" width="255.77734375" bestFit="1" customWidth="1"/>
    <col min="9" max="9" width="6.77734375" bestFit="1" customWidth="1"/>
    <col min="10" max="10" width="14.6640625" bestFit="1" customWidth="1"/>
    <col min="11" max="11" width="14.6640625" customWidth="1"/>
    <col min="12" max="12" width="12.88671875" bestFit="1" customWidth="1"/>
    <col min="13" max="15" width="15" bestFit="1" customWidth="1"/>
    <col min="16" max="16" width="22.44140625" bestFit="1" customWidth="1"/>
    <col min="17" max="17" width="11.88671875" bestFit="1" customWidth="1"/>
    <col min="18" max="18" width="18.109375" bestFit="1" customWidth="1"/>
    <col min="19" max="19" width="4" bestFit="1" customWidth="1"/>
    <col min="20" max="20" width="19.109375" bestFit="1" customWidth="1"/>
    <col min="21" max="21" width="21.109375" bestFit="1" customWidth="1"/>
    <col min="22" max="22" width="27.21875" bestFit="1" customWidth="1"/>
    <col min="23" max="23" width="69.77734375" customWidth="1"/>
    <col min="24" max="24" width="26.88671875" bestFit="1" customWidth="1"/>
    <col min="25" max="25" width="14.21875" bestFit="1" customWidth="1"/>
    <col min="26" max="26" width="15.21875" bestFit="1" customWidth="1"/>
    <col min="27" max="27" width="33.6640625" bestFit="1" customWidth="1"/>
    <col min="28" max="28" width="14.44140625" bestFit="1" customWidth="1"/>
    <col min="29" max="29" width="20.109375" bestFit="1" customWidth="1"/>
    <col min="30" max="30" width="16.88671875" bestFit="1" customWidth="1"/>
    <col min="31" max="31" width="33.6640625" bestFit="1" customWidth="1"/>
    <col min="32" max="32" width="21.77734375" bestFit="1" customWidth="1"/>
    <col min="33" max="33" width="16" bestFit="1" customWidth="1"/>
  </cols>
  <sheetData>
    <row r="1" spans="1:34" x14ac:dyDescent="0.3">
      <c r="B1" s="1" t="s">
        <v>0</v>
      </c>
      <c r="C1" s="1" t="s">
        <v>1</v>
      </c>
      <c r="D1" s="1" t="s">
        <v>2</v>
      </c>
      <c r="E1" s="1" t="s">
        <v>3</v>
      </c>
      <c r="F1" s="1" t="s">
        <v>4</v>
      </c>
      <c r="G1" s="1" t="s">
        <v>775</v>
      </c>
      <c r="H1" s="1" t="s">
        <v>5</v>
      </c>
      <c r="I1" s="1" t="s">
        <v>6</v>
      </c>
      <c r="J1" s="5" t="s">
        <v>7</v>
      </c>
      <c r="K1" s="4" t="s">
        <v>776</v>
      </c>
      <c r="L1" s="1" t="s">
        <v>8</v>
      </c>
      <c r="M1" s="1" t="s">
        <v>9</v>
      </c>
      <c r="N1" s="1" t="s">
        <v>10</v>
      </c>
      <c r="O1" s="1" t="s">
        <v>11</v>
      </c>
      <c r="P1" s="1" t="s">
        <v>12</v>
      </c>
      <c r="Q1" s="1" t="s">
        <v>13</v>
      </c>
      <c r="R1" s="1" t="s">
        <v>14</v>
      </c>
      <c r="S1" s="1" t="s">
        <v>15</v>
      </c>
      <c r="T1" s="1" t="s">
        <v>16</v>
      </c>
      <c r="U1" s="1" t="s">
        <v>17</v>
      </c>
      <c r="V1" s="1" t="s">
        <v>18</v>
      </c>
      <c r="W1" s="6" t="s">
        <v>19</v>
      </c>
      <c r="X1" s="1" t="s">
        <v>20</v>
      </c>
      <c r="Y1" s="1" t="s">
        <v>21</v>
      </c>
      <c r="Z1" s="1" t="s">
        <v>22</v>
      </c>
      <c r="AA1" s="1" t="s">
        <v>534</v>
      </c>
      <c r="AB1" s="1" t="s">
        <v>613</v>
      </c>
      <c r="AC1" s="5" t="s">
        <v>614</v>
      </c>
      <c r="AD1" s="4" t="s">
        <v>615</v>
      </c>
      <c r="AE1" s="7" t="s">
        <v>694</v>
      </c>
      <c r="AF1" s="1" t="s">
        <v>696</v>
      </c>
      <c r="AG1" s="5" t="s">
        <v>695</v>
      </c>
      <c r="AH1" s="12" t="s">
        <v>774</v>
      </c>
    </row>
    <row r="2" spans="1:34" x14ac:dyDescent="0.3">
      <c r="A2" s="1">
        <v>0</v>
      </c>
      <c r="B2" t="s">
        <v>23</v>
      </c>
      <c r="C2">
        <v>809700</v>
      </c>
      <c r="D2">
        <v>251760</v>
      </c>
      <c r="E2" s="2">
        <v>45932</v>
      </c>
      <c r="G2" t="s">
        <v>24</v>
      </c>
      <c r="H2" t="s">
        <v>25</v>
      </c>
      <c r="I2" t="s">
        <v>26</v>
      </c>
      <c r="J2" s="3">
        <v>45932.659722222219</v>
      </c>
      <c r="K2">
        <f t="shared" ref="K2:K33" si="0">MONTH(J2)</f>
        <v>10</v>
      </c>
      <c r="L2">
        <v>2025</v>
      </c>
      <c r="M2">
        <v>2025</v>
      </c>
      <c r="N2">
        <v>2025</v>
      </c>
      <c r="O2">
        <v>2025</v>
      </c>
      <c r="P2" t="s">
        <v>27</v>
      </c>
      <c r="Q2" t="s">
        <v>28</v>
      </c>
      <c r="R2" s="2">
        <v>45410</v>
      </c>
      <c r="S2">
        <v>1</v>
      </c>
      <c r="T2" t="s">
        <v>29</v>
      </c>
      <c r="U2" t="s">
        <v>30</v>
      </c>
      <c r="V2" t="s">
        <v>31</v>
      </c>
      <c r="W2" t="s">
        <v>441</v>
      </c>
      <c r="X2" t="s">
        <v>41</v>
      </c>
      <c r="Y2" t="s">
        <v>33</v>
      </c>
      <c r="Z2" t="str">
        <f t="shared" ref="Z2:Z33" si="1">IF(S2&lt;=6,"0-6",
IF(S2&lt;=17,"7-17",
IF(S2&lt;=35,"18-35",
IF(S2&lt;=55,"36-55",
"56+"))))</f>
        <v>0-6</v>
      </c>
      <c r="AA2" t="s">
        <v>535</v>
      </c>
      <c r="AB2">
        <v>79</v>
      </c>
      <c r="AC2" t="str" cm="1">
        <f t="array" ref="AC2">_xlfn.SWITCH(AB2,
79,"Thành phố Hồ Chí Minh",
1,"Thành phố Hà Nội",
35,"Tỉnh Hà Nam",
31,"Thành phố Hải Phòng",
27,"Tỉnh Bắc Ninh",
77,"Tỉnh Bà Rịa - Vũng Tàu",
48,"Thành phố Đà Nẵng",
75,"Tỉnh Đồng Nai",
38,"Tỉnh Thanh Hoá",
82,"Tỉnh Tiền Giang",
74,"Tỉnh Bình Dương",
49,"Tỉnh Quảng Nam",
51,"Tỉnh Quảng Ngãi",
52,"Tỉnh Bình Định",
40,"Tỉnh Nghệ An",
"Không xác định"
)</f>
        <v>Thành phố Hồ Chí Minh</v>
      </c>
      <c r="AD2" t="str">
        <f>ROUND((D2/C2)*100, 2) &amp; "%"</f>
        <v>31.09%</v>
      </c>
      <c r="AE2" t="s">
        <v>616</v>
      </c>
      <c r="AF2" s="8">
        <f>INT(J2)</f>
        <v>45932</v>
      </c>
      <c r="AG2" s="8">
        <f>_xlfn.XLOOKUP(AE2, Dev!$A:$A, Dev!$B:$B, "")</f>
        <v>45875.575844907406</v>
      </c>
      <c r="AH2" s="11">
        <f>AF2-AG2</f>
        <v>56.424155092594447</v>
      </c>
    </row>
    <row r="3" spans="1:34" x14ac:dyDescent="0.3">
      <c r="A3" s="1">
        <v>1</v>
      </c>
      <c r="B3" t="s">
        <v>34</v>
      </c>
      <c r="C3">
        <v>2612361</v>
      </c>
      <c r="D3">
        <v>640000</v>
      </c>
      <c r="E3" s="2">
        <v>45922</v>
      </c>
      <c r="G3" t="s">
        <v>24</v>
      </c>
      <c r="H3" t="s">
        <v>35</v>
      </c>
      <c r="I3" t="s">
        <v>26</v>
      </c>
      <c r="J3" s="3">
        <v>45931.79583333333</v>
      </c>
      <c r="K3">
        <f t="shared" si="0"/>
        <v>10</v>
      </c>
      <c r="L3">
        <v>2025</v>
      </c>
      <c r="M3">
        <v>2025</v>
      </c>
      <c r="N3">
        <v>2025</v>
      </c>
      <c r="O3">
        <v>2025</v>
      </c>
      <c r="P3" t="s">
        <v>27</v>
      </c>
      <c r="Q3" t="s">
        <v>28</v>
      </c>
      <c r="R3" s="2">
        <v>45644</v>
      </c>
      <c r="S3">
        <v>0</v>
      </c>
      <c r="T3" t="s">
        <v>29</v>
      </c>
      <c r="U3" t="s">
        <v>30</v>
      </c>
      <c r="V3" t="s">
        <v>31</v>
      </c>
      <c r="W3" t="s">
        <v>442</v>
      </c>
      <c r="X3" t="s">
        <v>36</v>
      </c>
      <c r="Y3" t="s">
        <v>33</v>
      </c>
      <c r="Z3" t="str">
        <f t="shared" si="1"/>
        <v>0-6</v>
      </c>
      <c r="AA3" t="s">
        <v>536</v>
      </c>
      <c r="AB3">
        <v>79</v>
      </c>
      <c r="AC3" t="str" cm="1">
        <f t="array" ref="AC3">_xlfn.SWITCH(AB3,
79,"Thành phố Hồ Chí Minh",
1,"Thành phố Hà Nội",
35,"Tỉnh Hà Nam",
31,"Thành phố Hải Phòng",
27,"Tỉnh Bắc Ninh",
77,"Tỉnh Bà Rịa - Vũng Tàu",
48,"Thành phố Đà Nẵng",
75,"Tỉnh Đồng Nai",
38,"Tỉnh Thanh Hoá",
82,"Tỉnh Tiền Giang",
74,"Tỉnh Bình Dương",
49,"Tỉnh Quảng Nam",
51,"Tỉnh Quảng Ngãi",
52,"Tỉnh Bình Định",
40,"Tỉnh Nghệ An",
"Không xác định"
)</f>
        <v>Thành phố Hồ Chí Minh</v>
      </c>
      <c r="AD3" t="str">
        <f t="shared" ref="AD3:AD66" si="2">ROUND((D3/C3)*100, 2) &amp; "%"</f>
        <v>24.5%</v>
      </c>
      <c r="AE3" t="s">
        <v>617</v>
      </c>
      <c r="AF3" s="8">
        <f t="shared" ref="AF3:AF66" si="3">INT(J3)</f>
        <v>45931</v>
      </c>
      <c r="AG3" s="8">
        <f>_xlfn.XLOOKUP(AE3, Dev!$A:$A, Dev!$B:$B, "")</f>
        <v>45674</v>
      </c>
      <c r="AH3" s="11">
        <f t="shared" ref="AH3:AH66" si="4">AF3-AG3</f>
        <v>257</v>
      </c>
    </row>
    <row r="4" spans="1:34" x14ac:dyDescent="0.3">
      <c r="A4" s="1">
        <v>2</v>
      </c>
      <c r="B4" t="s">
        <v>37</v>
      </c>
      <c r="C4">
        <v>346000</v>
      </c>
      <c r="D4">
        <v>346000</v>
      </c>
      <c r="E4" s="2">
        <v>45925</v>
      </c>
      <c r="F4" s="2">
        <v>45926</v>
      </c>
      <c r="G4" t="s">
        <v>38</v>
      </c>
      <c r="H4" t="s">
        <v>39</v>
      </c>
      <c r="I4" t="s">
        <v>26</v>
      </c>
      <c r="J4" s="3">
        <v>45930.406944444447</v>
      </c>
      <c r="K4">
        <f t="shared" si="0"/>
        <v>9</v>
      </c>
      <c r="L4">
        <v>2025</v>
      </c>
      <c r="M4">
        <v>2025</v>
      </c>
      <c r="N4">
        <v>2025</v>
      </c>
      <c r="O4">
        <v>2025</v>
      </c>
      <c r="P4" t="s">
        <v>27</v>
      </c>
      <c r="Q4" t="s">
        <v>28</v>
      </c>
      <c r="R4" s="2">
        <v>45747</v>
      </c>
      <c r="S4">
        <v>0</v>
      </c>
      <c r="T4" t="s">
        <v>29</v>
      </c>
      <c r="U4" t="s">
        <v>40</v>
      </c>
      <c r="V4" t="s">
        <v>31</v>
      </c>
      <c r="W4" t="s">
        <v>39</v>
      </c>
      <c r="X4" t="s">
        <v>32</v>
      </c>
      <c r="Y4" t="s">
        <v>33</v>
      </c>
      <c r="Z4" t="str">
        <f t="shared" si="1"/>
        <v>0-6</v>
      </c>
      <c r="AA4" t="s">
        <v>537</v>
      </c>
      <c r="AB4">
        <v>1</v>
      </c>
      <c r="AC4" t="str" cm="1">
        <f t="array" ref="AC4">_xlfn.SWITCH(AB4,
79,"Thành phố Hồ Chí Minh",
1,"Thành phố Hà Nội",
35,"Tỉnh Hà Nam",
31,"Thành phố Hải Phòng",
27,"Tỉnh Bắc Ninh",
77,"Tỉnh Bà Rịa - Vũng Tàu",
48,"Thành phố Đà Nẵng",
75,"Tỉnh Đồng Nai",
38,"Tỉnh Thanh Hoá",
82,"Tỉnh Tiền Giang",
74,"Tỉnh Bình Dương",
49,"Tỉnh Quảng Nam",
51,"Tỉnh Quảng Ngãi",
52,"Tỉnh Bình Định",
40,"Tỉnh Nghệ An",
"Không xác định"
)</f>
        <v>Thành phố Hà Nội</v>
      </c>
      <c r="AD4" t="str">
        <f t="shared" si="2"/>
        <v>100%</v>
      </c>
      <c r="AE4" t="s">
        <v>618</v>
      </c>
      <c r="AF4" s="8">
        <f t="shared" si="3"/>
        <v>45930</v>
      </c>
      <c r="AG4" s="8">
        <f>_xlfn.XLOOKUP(AE4, Dev!$A:$A, Dev!$B:$B, "")</f>
        <v>45818.674259259256</v>
      </c>
      <c r="AH4" s="11">
        <f t="shared" si="4"/>
        <v>111.32574074074364</v>
      </c>
    </row>
    <row r="5" spans="1:34" x14ac:dyDescent="0.3">
      <c r="A5" s="1">
        <v>3</v>
      </c>
      <c r="B5" t="s">
        <v>42</v>
      </c>
      <c r="C5">
        <v>1333550</v>
      </c>
      <c r="D5">
        <v>568550</v>
      </c>
      <c r="E5" s="2">
        <v>45922</v>
      </c>
      <c r="F5" s="2">
        <v>45922</v>
      </c>
      <c r="G5" t="s">
        <v>38</v>
      </c>
      <c r="H5" t="s">
        <v>43</v>
      </c>
      <c r="I5" t="s">
        <v>26</v>
      </c>
      <c r="J5" s="3">
        <v>45930.402777777781</v>
      </c>
      <c r="K5">
        <f t="shared" si="0"/>
        <v>9</v>
      </c>
      <c r="L5">
        <v>2025</v>
      </c>
      <c r="M5">
        <v>2025</v>
      </c>
      <c r="N5">
        <v>2025</v>
      </c>
      <c r="O5">
        <v>2025</v>
      </c>
      <c r="P5" t="s">
        <v>27</v>
      </c>
      <c r="Q5" t="s">
        <v>28</v>
      </c>
      <c r="R5" s="2">
        <v>45747</v>
      </c>
      <c r="S5">
        <v>0</v>
      </c>
      <c r="T5" t="s">
        <v>29</v>
      </c>
      <c r="U5" t="s">
        <v>40</v>
      </c>
      <c r="V5" t="s">
        <v>31</v>
      </c>
      <c r="W5" t="s">
        <v>43</v>
      </c>
      <c r="X5" t="s">
        <v>32</v>
      </c>
      <c r="Y5" t="s">
        <v>33</v>
      </c>
      <c r="Z5" t="str">
        <f t="shared" si="1"/>
        <v>0-6</v>
      </c>
      <c r="AA5" t="s">
        <v>537</v>
      </c>
      <c r="AB5">
        <v>1</v>
      </c>
      <c r="AC5" t="str" cm="1">
        <f t="array" ref="AC5">_xlfn.SWITCH(AB5,
79,"Thành phố Hồ Chí Minh",
1,"Thành phố Hà Nội",
35,"Tỉnh Hà Nam",
31,"Thành phố Hải Phòng",
27,"Tỉnh Bắc Ninh",
77,"Tỉnh Bà Rịa - Vũng Tàu",
48,"Thành phố Đà Nẵng",
75,"Tỉnh Đồng Nai",
38,"Tỉnh Thanh Hoá",
82,"Tỉnh Tiền Giang",
74,"Tỉnh Bình Dương",
49,"Tỉnh Quảng Nam",
51,"Tỉnh Quảng Ngãi",
52,"Tỉnh Bình Định",
40,"Tỉnh Nghệ An",
"Không xác định"
)</f>
        <v>Thành phố Hà Nội</v>
      </c>
      <c r="AD5" t="str">
        <f t="shared" si="2"/>
        <v>42.63%</v>
      </c>
      <c r="AE5" t="s">
        <v>618</v>
      </c>
      <c r="AF5" s="8">
        <f t="shared" si="3"/>
        <v>45930</v>
      </c>
      <c r="AG5" s="8">
        <f>_xlfn.XLOOKUP(AE5, Dev!$A:$A, Dev!$B:$B, "")</f>
        <v>45818.674259259256</v>
      </c>
      <c r="AH5" s="11">
        <f t="shared" si="4"/>
        <v>111.32574074074364</v>
      </c>
    </row>
    <row r="6" spans="1:34" x14ac:dyDescent="0.3">
      <c r="A6" s="1">
        <v>4</v>
      </c>
      <c r="B6" t="s">
        <v>44</v>
      </c>
      <c r="C6">
        <v>1559900</v>
      </c>
      <c r="D6">
        <v>105600</v>
      </c>
      <c r="E6" s="2">
        <v>45923</v>
      </c>
      <c r="F6" s="2">
        <v>45925</v>
      </c>
      <c r="G6" t="s">
        <v>45</v>
      </c>
      <c r="H6" t="s">
        <v>46</v>
      </c>
      <c r="I6" t="s">
        <v>26</v>
      </c>
      <c r="J6" s="3">
        <v>45926.936111111114</v>
      </c>
      <c r="K6">
        <f t="shared" si="0"/>
        <v>9</v>
      </c>
      <c r="L6">
        <v>2025</v>
      </c>
      <c r="M6">
        <v>2025</v>
      </c>
      <c r="N6">
        <v>2025</v>
      </c>
      <c r="O6">
        <v>2025</v>
      </c>
      <c r="P6" t="s">
        <v>27</v>
      </c>
      <c r="Q6" t="s">
        <v>28</v>
      </c>
      <c r="R6" s="2">
        <v>45283</v>
      </c>
      <c r="S6">
        <v>1</v>
      </c>
      <c r="T6" t="s">
        <v>29</v>
      </c>
      <c r="U6" t="s">
        <v>40</v>
      </c>
      <c r="V6" t="s">
        <v>31</v>
      </c>
      <c r="W6" t="s">
        <v>443</v>
      </c>
      <c r="X6" t="s">
        <v>36</v>
      </c>
      <c r="Y6" t="s">
        <v>33</v>
      </c>
      <c r="Z6" t="str">
        <f t="shared" si="1"/>
        <v>0-6</v>
      </c>
      <c r="AA6" t="s">
        <v>538</v>
      </c>
      <c r="AB6">
        <v>35</v>
      </c>
      <c r="AC6" t="str" cm="1">
        <f t="array" ref="AC6">_xlfn.SWITCH(AB6,
79,"Thành phố Hồ Chí Minh",
1,"Thành phố Hà Nội",
35,"Tỉnh Hà Nam",
31,"Thành phố Hải Phòng",
27,"Tỉnh Bắc Ninh",
77,"Tỉnh Bà Rịa - Vũng Tàu",
48,"Thành phố Đà Nẵng",
75,"Tỉnh Đồng Nai",
38,"Tỉnh Thanh Hoá",
82,"Tỉnh Tiền Giang",
74,"Tỉnh Bình Dương",
49,"Tỉnh Quảng Nam",
51,"Tỉnh Quảng Ngãi",
52,"Tỉnh Bình Định",
40,"Tỉnh Nghệ An",
"Không xác định"
)</f>
        <v>Tỉnh Hà Nam</v>
      </c>
      <c r="AD6" t="str">
        <f t="shared" si="2"/>
        <v>6.77%</v>
      </c>
      <c r="AE6" t="s">
        <v>619</v>
      </c>
      <c r="AF6" s="8">
        <f t="shared" si="3"/>
        <v>45926</v>
      </c>
      <c r="AG6" s="8">
        <f>_xlfn.XLOOKUP(AE6, Dev!$A:$A, Dev!$B:$B, "")</f>
        <v>45723.677615740744</v>
      </c>
      <c r="AH6" s="11">
        <f t="shared" si="4"/>
        <v>202.32238425925607</v>
      </c>
    </row>
    <row r="7" spans="1:34" x14ac:dyDescent="0.3">
      <c r="A7" s="1">
        <v>5</v>
      </c>
      <c r="B7" t="s">
        <v>47</v>
      </c>
      <c r="C7">
        <v>1300000</v>
      </c>
      <c r="D7">
        <v>800000</v>
      </c>
      <c r="E7" s="2">
        <v>45921</v>
      </c>
      <c r="F7" s="2">
        <v>45921</v>
      </c>
      <c r="G7" t="s">
        <v>45</v>
      </c>
      <c r="H7" t="s">
        <v>48</v>
      </c>
      <c r="I7" t="s">
        <v>26</v>
      </c>
      <c r="J7" s="3">
        <v>45926.929166666669</v>
      </c>
      <c r="K7">
        <f t="shared" si="0"/>
        <v>9</v>
      </c>
      <c r="L7">
        <v>2025</v>
      </c>
      <c r="M7">
        <v>2025</v>
      </c>
      <c r="N7">
        <v>2025</v>
      </c>
      <c r="O7">
        <v>2025</v>
      </c>
      <c r="P7" t="s">
        <v>27</v>
      </c>
      <c r="Q7" t="s">
        <v>28</v>
      </c>
      <c r="R7" s="2">
        <v>45283</v>
      </c>
      <c r="S7">
        <v>1</v>
      </c>
      <c r="T7" t="s">
        <v>29</v>
      </c>
      <c r="U7" t="s">
        <v>40</v>
      </c>
      <c r="V7" t="s">
        <v>31</v>
      </c>
      <c r="W7" t="s">
        <v>48</v>
      </c>
      <c r="X7" t="s">
        <v>41</v>
      </c>
      <c r="Y7" t="s">
        <v>33</v>
      </c>
      <c r="Z7" t="str">
        <f t="shared" si="1"/>
        <v>0-6</v>
      </c>
      <c r="AA7" t="s">
        <v>538</v>
      </c>
      <c r="AB7">
        <v>35</v>
      </c>
      <c r="AC7" t="str" cm="1">
        <f t="array" ref="AC7">_xlfn.SWITCH(AB7,
79,"Thành phố Hồ Chí Minh",
1,"Thành phố Hà Nội",
35,"Tỉnh Hà Nam",
31,"Thành phố Hải Phòng",
27,"Tỉnh Bắc Ninh",
77,"Tỉnh Bà Rịa - Vũng Tàu",
48,"Thành phố Đà Nẵng",
75,"Tỉnh Đồng Nai",
38,"Tỉnh Thanh Hoá",
82,"Tỉnh Tiền Giang",
74,"Tỉnh Bình Dương",
49,"Tỉnh Quảng Nam",
51,"Tỉnh Quảng Ngãi",
52,"Tỉnh Bình Định",
40,"Tỉnh Nghệ An",
"Không xác định"
)</f>
        <v>Tỉnh Hà Nam</v>
      </c>
      <c r="AD7" t="str">
        <f t="shared" si="2"/>
        <v>61.54%</v>
      </c>
      <c r="AE7" t="s">
        <v>619</v>
      </c>
      <c r="AF7" s="8">
        <f t="shared" si="3"/>
        <v>45926</v>
      </c>
      <c r="AG7" s="8">
        <f>_xlfn.XLOOKUP(AE7, Dev!$A:$A, Dev!$B:$B, "")</f>
        <v>45723.677615740744</v>
      </c>
      <c r="AH7" s="11">
        <f t="shared" si="4"/>
        <v>202.32238425925607</v>
      </c>
    </row>
    <row r="8" spans="1:34" x14ac:dyDescent="0.3">
      <c r="A8" s="1">
        <v>6</v>
      </c>
      <c r="B8" t="s">
        <v>49</v>
      </c>
      <c r="C8">
        <v>363290</v>
      </c>
      <c r="D8">
        <v>363290</v>
      </c>
      <c r="E8" s="2">
        <v>45925</v>
      </c>
      <c r="F8" s="2">
        <v>45925</v>
      </c>
      <c r="G8" t="s">
        <v>50</v>
      </c>
      <c r="H8" t="s">
        <v>51</v>
      </c>
      <c r="I8" t="s">
        <v>26</v>
      </c>
      <c r="J8" s="3">
        <v>45926.57916666667</v>
      </c>
      <c r="K8">
        <f t="shared" si="0"/>
        <v>9</v>
      </c>
      <c r="L8">
        <v>2025</v>
      </c>
      <c r="M8">
        <v>2025</v>
      </c>
      <c r="N8">
        <v>2025</v>
      </c>
      <c r="O8">
        <v>2025</v>
      </c>
      <c r="P8" t="s">
        <v>27</v>
      </c>
      <c r="Q8" t="s">
        <v>28</v>
      </c>
      <c r="R8" s="2">
        <v>44269</v>
      </c>
      <c r="S8">
        <v>4</v>
      </c>
      <c r="T8" t="s">
        <v>29</v>
      </c>
      <c r="U8" t="s">
        <v>40</v>
      </c>
      <c r="V8" t="s">
        <v>31</v>
      </c>
      <c r="W8" t="s">
        <v>444</v>
      </c>
      <c r="X8" t="s">
        <v>36</v>
      </c>
      <c r="Y8" t="s">
        <v>33</v>
      </c>
      <c r="Z8" t="str">
        <f t="shared" si="1"/>
        <v>0-6</v>
      </c>
      <c r="AA8" t="s">
        <v>539</v>
      </c>
      <c r="AB8">
        <v>79</v>
      </c>
      <c r="AC8" t="str" cm="1">
        <f t="array" ref="AC8">_xlfn.SWITCH(AB8,
79,"Thành phố Hồ Chí Minh",
1,"Thành phố Hà Nội",
35,"Tỉnh Hà Nam",
31,"Thành phố Hải Phòng",
27,"Tỉnh Bắc Ninh",
77,"Tỉnh Bà Rịa - Vũng Tàu",
48,"Thành phố Đà Nẵng",
75,"Tỉnh Đồng Nai",
38,"Tỉnh Thanh Hoá",
82,"Tỉnh Tiền Giang",
74,"Tỉnh Bình Dương",
49,"Tỉnh Quảng Nam",
51,"Tỉnh Quảng Ngãi",
52,"Tỉnh Bình Định",
40,"Tỉnh Nghệ An",
"Không xác định"
)</f>
        <v>Thành phố Hồ Chí Minh</v>
      </c>
      <c r="AD8" t="str">
        <f t="shared" si="2"/>
        <v>100%</v>
      </c>
      <c r="AE8" t="s">
        <v>620</v>
      </c>
      <c r="AF8" s="8">
        <f t="shared" si="3"/>
        <v>45926</v>
      </c>
      <c r="AG8" s="8">
        <f>_xlfn.XLOOKUP(AE8, Dev!$A:$A, Dev!$B:$B, "")</f>
        <v>45689</v>
      </c>
      <c r="AH8" s="11">
        <f t="shared" si="4"/>
        <v>237</v>
      </c>
    </row>
    <row r="9" spans="1:34" x14ac:dyDescent="0.3">
      <c r="A9" s="1">
        <v>7</v>
      </c>
      <c r="B9" t="s">
        <v>52</v>
      </c>
      <c r="C9">
        <v>640000</v>
      </c>
      <c r="D9">
        <v>640000</v>
      </c>
      <c r="E9" s="2">
        <v>45897</v>
      </c>
      <c r="F9" s="2">
        <v>45905</v>
      </c>
      <c r="G9" t="s">
        <v>53</v>
      </c>
      <c r="H9" t="s">
        <v>54</v>
      </c>
      <c r="I9" t="s">
        <v>26</v>
      </c>
      <c r="J9" s="3">
        <v>45926.498611111114</v>
      </c>
      <c r="K9">
        <f t="shared" si="0"/>
        <v>9</v>
      </c>
      <c r="L9">
        <v>2025</v>
      </c>
      <c r="M9">
        <v>2025</v>
      </c>
      <c r="N9">
        <v>2025</v>
      </c>
      <c r="O9">
        <v>2025</v>
      </c>
      <c r="P9" t="s">
        <v>27</v>
      </c>
      <c r="Q9" t="s">
        <v>28</v>
      </c>
      <c r="R9" s="2">
        <v>45573</v>
      </c>
      <c r="S9">
        <v>1</v>
      </c>
      <c r="T9" t="s">
        <v>29</v>
      </c>
      <c r="U9" t="s">
        <v>40</v>
      </c>
      <c r="V9" t="s">
        <v>55</v>
      </c>
      <c r="W9" t="s">
        <v>445</v>
      </c>
      <c r="X9" t="s">
        <v>32</v>
      </c>
      <c r="Y9" t="s">
        <v>33</v>
      </c>
      <c r="Z9" t="str">
        <f t="shared" si="1"/>
        <v>0-6</v>
      </c>
      <c r="AA9" t="s">
        <v>540</v>
      </c>
      <c r="AB9">
        <v>1</v>
      </c>
      <c r="AC9" t="str" cm="1">
        <f t="array" ref="AC9">_xlfn.SWITCH(AB9,
79,"Thành phố Hồ Chí Minh",
1,"Thành phố Hà Nội",
35,"Tỉnh Hà Nam",
31,"Thành phố Hải Phòng",
27,"Tỉnh Bắc Ninh",
77,"Tỉnh Bà Rịa - Vũng Tàu",
48,"Thành phố Đà Nẵng",
75,"Tỉnh Đồng Nai",
38,"Tỉnh Thanh Hoá",
82,"Tỉnh Tiền Giang",
74,"Tỉnh Bình Dương",
49,"Tỉnh Quảng Nam",
51,"Tỉnh Quảng Ngãi",
52,"Tỉnh Bình Định",
40,"Tỉnh Nghệ An",
"Không xác định"
)</f>
        <v>Thành phố Hà Nội</v>
      </c>
      <c r="AD9" t="str">
        <f t="shared" si="2"/>
        <v>100%</v>
      </c>
      <c r="AE9" t="s">
        <v>621</v>
      </c>
      <c r="AF9" s="8">
        <f t="shared" si="3"/>
        <v>45926</v>
      </c>
      <c r="AG9" s="8">
        <f>_xlfn.XLOOKUP(AE9, Dev!$A:$A, Dev!$B:$B, "")</f>
        <v>45797.886423611111</v>
      </c>
      <c r="AH9" s="11">
        <f t="shared" si="4"/>
        <v>128.11357638888876</v>
      </c>
    </row>
    <row r="10" spans="1:34" x14ac:dyDescent="0.3">
      <c r="A10" s="1">
        <v>8</v>
      </c>
      <c r="B10" t="s">
        <v>56</v>
      </c>
      <c r="C10">
        <v>481500</v>
      </c>
      <c r="D10">
        <v>365200</v>
      </c>
      <c r="E10" s="2">
        <v>45887</v>
      </c>
      <c r="F10" s="2">
        <v>45887</v>
      </c>
      <c r="G10" t="s">
        <v>57</v>
      </c>
      <c r="H10" t="s">
        <v>58</v>
      </c>
      <c r="I10" t="s">
        <v>26</v>
      </c>
      <c r="J10" s="3">
        <v>45926.42083333333</v>
      </c>
      <c r="K10">
        <f t="shared" si="0"/>
        <v>9</v>
      </c>
      <c r="L10">
        <v>2025</v>
      </c>
      <c r="M10">
        <v>2025</v>
      </c>
      <c r="N10">
        <v>2025</v>
      </c>
      <c r="O10">
        <v>2025</v>
      </c>
      <c r="P10" t="s">
        <v>27</v>
      </c>
      <c r="Q10" t="s">
        <v>28</v>
      </c>
      <c r="R10" s="2">
        <v>44507</v>
      </c>
      <c r="S10">
        <v>3</v>
      </c>
      <c r="T10" t="s">
        <v>29</v>
      </c>
      <c r="U10" t="s">
        <v>40</v>
      </c>
      <c r="V10" t="s">
        <v>31</v>
      </c>
      <c r="W10" t="s">
        <v>446</v>
      </c>
      <c r="X10" t="s">
        <v>32</v>
      </c>
      <c r="Y10" t="s">
        <v>33</v>
      </c>
      <c r="Z10" t="str">
        <f t="shared" si="1"/>
        <v>0-6</v>
      </c>
      <c r="AA10" t="s">
        <v>541</v>
      </c>
      <c r="AB10">
        <v>79</v>
      </c>
      <c r="AC10" t="str" cm="1">
        <f t="array" ref="AC10">_xlfn.SWITCH(AB10,
79,"Thành phố Hồ Chí Minh",
1,"Thành phố Hà Nội",
35,"Tỉnh Hà Nam",
31,"Thành phố Hải Phòng",
27,"Tỉnh Bắc Ninh",
77,"Tỉnh Bà Rịa - Vũng Tàu",
48,"Thành phố Đà Nẵng",
75,"Tỉnh Đồng Nai",
38,"Tỉnh Thanh Hoá",
82,"Tỉnh Tiền Giang",
74,"Tỉnh Bình Dương",
49,"Tỉnh Quảng Nam",
51,"Tỉnh Quảng Ngãi",
52,"Tỉnh Bình Định",
40,"Tỉnh Nghệ An",
"Không xác định"
)</f>
        <v>Thành phố Hồ Chí Minh</v>
      </c>
      <c r="AD10" t="str">
        <f t="shared" si="2"/>
        <v>75.85%</v>
      </c>
      <c r="AE10" t="s">
        <v>622</v>
      </c>
      <c r="AF10" s="8">
        <f t="shared" si="3"/>
        <v>45926</v>
      </c>
      <c r="AG10" s="8">
        <f>_xlfn.XLOOKUP(AE10, Dev!$A:$A, Dev!$B:$B, "")</f>
        <v>45618.507708333331</v>
      </c>
      <c r="AH10" s="11">
        <f t="shared" si="4"/>
        <v>307.49229166666919</v>
      </c>
    </row>
    <row r="11" spans="1:34" x14ac:dyDescent="0.3">
      <c r="A11" s="1">
        <v>9</v>
      </c>
      <c r="B11" t="s">
        <v>59</v>
      </c>
      <c r="C11">
        <v>534650</v>
      </c>
      <c r="D11">
        <v>384650</v>
      </c>
      <c r="E11" s="2">
        <v>45923</v>
      </c>
      <c r="F11" s="2">
        <v>45923</v>
      </c>
      <c r="G11" t="s">
        <v>50</v>
      </c>
      <c r="H11" t="s">
        <v>60</v>
      </c>
      <c r="I11" t="s">
        <v>26</v>
      </c>
      <c r="J11" s="3">
        <v>45925.540972222225</v>
      </c>
      <c r="K11">
        <f t="shared" si="0"/>
        <v>9</v>
      </c>
      <c r="L11">
        <v>2025</v>
      </c>
      <c r="M11">
        <v>2025</v>
      </c>
      <c r="N11">
        <v>2025</v>
      </c>
      <c r="O11">
        <v>2025</v>
      </c>
      <c r="P11" t="s">
        <v>27</v>
      </c>
      <c r="Q11" t="s">
        <v>28</v>
      </c>
      <c r="R11" s="2">
        <v>44269</v>
      </c>
      <c r="S11">
        <v>4</v>
      </c>
      <c r="T11" t="s">
        <v>29</v>
      </c>
      <c r="U11" t="s">
        <v>40</v>
      </c>
      <c r="V11" t="s">
        <v>31</v>
      </c>
      <c r="W11" t="s">
        <v>447</v>
      </c>
      <c r="X11" t="s">
        <v>36</v>
      </c>
      <c r="Y11" t="s">
        <v>33</v>
      </c>
      <c r="Z11" t="str">
        <f t="shared" si="1"/>
        <v>0-6</v>
      </c>
      <c r="AA11" t="s">
        <v>539</v>
      </c>
      <c r="AB11">
        <v>79</v>
      </c>
      <c r="AC11" t="str" cm="1">
        <f t="array" ref="AC11">_xlfn.SWITCH(AB11,
79,"Thành phố Hồ Chí Minh",
1,"Thành phố Hà Nội",
35,"Tỉnh Hà Nam",
31,"Thành phố Hải Phòng",
27,"Tỉnh Bắc Ninh",
77,"Tỉnh Bà Rịa - Vũng Tàu",
48,"Thành phố Đà Nẵng",
75,"Tỉnh Đồng Nai",
38,"Tỉnh Thanh Hoá",
82,"Tỉnh Tiền Giang",
74,"Tỉnh Bình Dương",
49,"Tỉnh Quảng Nam",
51,"Tỉnh Quảng Ngãi",
52,"Tỉnh Bình Định",
40,"Tỉnh Nghệ An",
"Không xác định"
)</f>
        <v>Thành phố Hồ Chí Minh</v>
      </c>
      <c r="AD11" t="str">
        <f t="shared" si="2"/>
        <v>71.94%</v>
      </c>
      <c r="AE11" t="s">
        <v>620</v>
      </c>
      <c r="AF11" s="8">
        <f t="shared" si="3"/>
        <v>45925</v>
      </c>
      <c r="AG11" s="8">
        <f>_xlfn.XLOOKUP(AE11, Dev!$A:$A, Dev!$B:$B, "")</f>
        <v>45689</v>
      </c>
      <c r="AH11" s="11">
        <f t="shared" si="4"/>
        <v>236</v>
      </c>
    </row>
    <row r="12" spans="1:34" x14ac:dyDescent="0.3">
      <c r="A12" s="1">
        <v>10</v>
      </c>
      <c r="B12" t="s">
        <v>61</v>
      </c>
      <c r="C12">
        <v>307244</v>
      </c>
      <c r="D12">
        <v>300424</v>
      </c>
      <c r="E12" s="2">
        <v>45921</v>
      </c>
      <c r="F12" s="2">
        <v>45921</v>
      </c>
      <c r="G12" t="s">
        <v>50</v>
      </c>
      <c r="H12" t="s">
        <v>62</v>
      </c>
      <c r="I12" t="s">
        <v>26</v>
      </c>
      <c r="J12" s="3">
        <v>45925.537499999999</v>
      </c>
      <c r="K12">
        <f t="shared" si="0"/>
        <v>9</v>
      </c>
      <c r="L12">
        <v>2025</v>
      </c>
      <c r="M12">
        <v>2025</v>
      </c>
      <c r="N12">
        <v>2025</v>
      </c>
      <c r="O12">
        <v>2025</v>
      </c>
      <c r="P12" t="s">
        <v>27</v>
      </c>
      <c r="Q12" t="s">
        <v>28</v>
      </c>
      <c r="R12" s="2">
        <v>44269</v>
      </c>
      <c r="S12">
        <v>4</v>
      </c>
      <c r="T12" t="s">
        <v>29</v>
      </c>
      <c r="U12" t="s">
        <v>40</v>
      </c>
      <c r="V12" t="s">
        <v>31</v>
      </c>
      <c r="W12" t="s">
        <v>62</v>
      </c>
      <c r="X12" t="s">
        <v>41</v>
      </c>
      <c r="Y12" t="s">
        <v>33</v>
      </c>
      <c r="Z12" t="str">
        <f t="shared" si="1"/>
        <v>0-6</v>
      </c>
      <c r="AA12" t="s">
        <v>539</v>
      </c>
      <c r="AB12">
        <v>79</v>
      </c>
      <c r="AC12" t="str" cm="1">
        <f t="array" ref="AC12">_xlfn.SWITCH(AB12,
79,"Thành phố Hồ Chí Minh",
1,"Thành phố Hà Nội",
35,"Tỉnh Hà Nam",
31,"Thành phố Hải Phòng",
27,"Tỉnh Bắc Ninh",
77,"Tỉnh Bà Rịa - Vũng Tàu",
48,"Thành phố Đà Nẵng",
75,"Tỉnh Đồng Nai",
38,"Tỉnh Thanh Hoá",
82,"Tỉnh Tiền Giang",
74,"Tỉnh Bình Dương",
49,"Tỉnh Quảng Nam",
51,"Tỉnh Quảng Ngãi",
52,"Tỉnh Bình Định",
40,"Tỉnh Nghệ An",
"Không xác định"
)</f>
        <v>Thành phố Hồ Chí Minh</v>
      </c>
      <c r="AD12" t="str">
        <f t="shared" si="2"/>
        <v>97.78%</v>
      </c>
      <c r="AE12" t="s">
        <v>620</v>
      </c>
      <c r="AF12" s="8">
        <f t="shared" si="3"/>
        <v>45925</v>
      </c>
      <c r="AG12" s="8">
        <f>_xlfn.XLOOKUP(AE12, Dev!$A:$A, Dev!$B:$B, "")</f>
        <v>45689</v>
      </c>
      <c r="AH12" s="11">
        <f t="shared" si="4"/>
        <v>236</v>
      </c>
    </row>
    <row r="13" spans="1:34" x14ac:dyDescent="0.3">
      <c r="A13" s="1">
        <v>11</v>
      </c>
      <c r="B13" t="s">
        <v>63</v>
      </c>
      <c r="C13">
        <v>387472</v>
      </c>
      <c r="D13">
        <v>387472</v>
      </c>
      <c r="E13" s="2">
        <v>45919</v>
      </c>
      <c r="F13" s="2">
        <v>45919</v>
      </c>
      <c r="G13" t="s">
        <v>50</v>
      </c>
      <c r="H13" t="s">
        <v>64</v>
      </c>
      <c r="I13" t="s">
        <v>26</v>
      </c>
      <c r="J13" s="3">
        <v>45925.534722222219</v>
      </c>
      <c r="K13">
        <f t="shared" si="0"/>
        <v>9</v>
      </c>
      <c r="L13">
        <v>2025</v>
      </c>
      <c r="M13">
        <v>2025</v>
      </c>
      <c r="N13">
        <v>2025</v>
      </c>
      <c r="O13">
        <v>2025</v>
      </c>
      <c r="P13" t="s">
        <v>27</v>
      </c>
      <c r="Q13" t="s">
        <v>28</v>
      </c>
      <c r="R13" s="2">
        <v>44269</v>
      </c>
      <c r="S13">
        <v>4</v>
      </c>
      <c r="T13" t="s">
        <v>29</v>
      </c>
      <c r="U13" t="s">
        <v>40</v>
      </c>
      <c r="V13" t="s">
        <v>31</v>
      </c>
      <c r="W13" t="s">
        <v>64</v>
      </c>
      <c r="X13" t="s">
        <v>32</v>
      </c>
      <c r="Y13" t="s">
        <v>33</v>
      </c>
      <c r="Z13" t="str">
        <f t="shared" si="1"/>
        <v>0-6</v>
      </c>
      <c r="AA13" t="s">
        <v>539</v>
      </c>
      <c r="AB13">
        <v>79</v>
      </c>
      <c r="AC13" t="str" cm="1">
        <f t="array" ref="AC13">_xlfn.SWITCH(AB13,
79,"Thành phố Hồ Chí Minh",
1,"Thành phố Hà Nội",
35,"Tỉnh Hà Nam",
31,"Thành phố Hải Phòng",
27,"Tỉnh Bắc Ninh",
77,"Tỉnh Bà Rịa - Vũng Tàu",
48,"Thành phố Đà Nẵng",
75,"Tỉnh Đồng Nai",
38,"Tỉnh Thanh Hoá",
82,"Tỉnh Tiền Giang",
74,"Tỉnh Bình Dương",
49,"Tỉnh Quảng Nam",
51,"Tỉnh Quảng Ngãi",
52,"Tỉnh Bình Định",
40,"Tỉnh Nghệ An",
"Không xác định"
)</f>
        <v>Thành phố Hồ Chí Minh</v>
      </c>
      <c r="AD13" t="str">
        <f t="shared" si="2"/>
        <v>100%</v>
      </c>
      <c r="AE13" t="s">
        <v>620</v>
      </c>
      <c r="AF13" s="8">
        <f t="shared" si="3"/>
        <v>45925</v>
      </c>
      <c r="AG13" s="8">
        <f>_xlfn.XLOOKUP(AE13, Dev!$A:$A, Dev!$B:$B, "")</f>
        <v>45689</v>
      </c>
      <c r="AH13" s="11">
        <f t="shared" si="4"/>
        <v>236</v>
      </c>
    </row>
    <row r="14" spans="1:34" x14ac:dyDescent="0.3">
      <c r="A14" s="1">
        <v>12</v>
      </c>
      <c r="B14" t="s">
        <v>65</v>
      </c>
      <c r="C14">
        <v>798635</v>
      </c>
      <c r="D14">
        <v>653135</v>
      </c>
      <c r="E14" s="2">
        <v>45921</v>
      </c>
      <c r="G14" t="s">
        <v>66</v>
      </c>
      <c r="H14" t="s">
        <v>67</v>
      </c>
      <c r="I14" t="s">
        <v>26</v>
      </c>
      <c r="J14" s="3">
        <v>45923.576388888891</v>
      </c>
      <c r="K14">
        <f t="shared" si="0"/>
        <v>9</v>
      </c>
      <c r="L14">
        <v>2025</v>
      </c>
      <c r="M14">
        <v>2025</v>
      </c>
      <c r="N14">
        <v>2025</v>
      </c>
      <c r="O14">
        <v>2025</v>
      </c>
      <c r="P14" t="s">
        <v>27</v>
      </c>
      <c r="Q14" t="s">
        <v>28</v>
      </c>
      <c r="R14" s="2">
        <v>43048</v>
      </c>
      <c r="S14">
        <v>7</v>
      </c>
      <c r="T14" t="s">
        <v>29</v>
      </c>
      <c r="U14" t="s">
        <v>30</v>
      </c>
      <c r="V14" t="s">
        <v>31</v>
      </c>
      <c r="W14" t="s">
        <v>67</v>
      </c>
      <c r="X14" t="s">
        <v>32</v>
      </c>
      <c r="Y14" t="s">
        <v>33</v>
      </c>
      <c r="Z14" t="str">
        <f t="shared" si="1"/>
        <v>7-17</v>
      </c>
      <c r="AA14" t="s">
        <v>542</v>
      </c>
      <c r="AB14">
        <v>79</v>
      </c>
      <c r="AC14" t="str" cm="1">
        <f t="array" ref="AC14">_xlfn.SWITCH(AB14,
79,"Thành phố Hồ Chí Minh",
1,"Thành phố Hà Nội",
35,"Tỉnh Hà Nam",
31,"Thành phố Hải Phòng",
27,"Tỉnh Bắc Ninh",
77,"Tỉnh Bà Rịa - Vũng Tàu",
48,"Thành phố Đà Nẵng",
75,"Tỉnh Đồng Nai",
38,"Tỉnh Thanh Hoá",
82,"Tỉnh Tiền Giang",
74,"Tỉnh Bình Dương",
49,"Tỉnh Quảng Nam",
51,"Tỉnh Quảng Ngãi",
52,"Tỉnh Bình Định",
40,"Tỉnh Nghệ An",
"Không xác định"
)</f>
        <v>Thành phố Hồ Chí Minh</v>
      </c>
      <c r="AD14" t="str">
        <f t="shared" si="2"/>
        <v>81.78%</v>
      </c>
      <c r="AE14" t="s">
        <v>623</v>
      </c>
      <c r="AF14" s="8">
        <f t="shared" si="3"/>
        <v>45923</v>
      </c>
      <c r="AG14" s="8">
        <f>_xlfn.XLOOKUP(AE14, Dev!$A:$A, Dev!$B:$B, "")</f>
        <v>45631</v>
      </c>
      <c r="AH14" s="11">
        <f t="shared" si="4"/>
        <v>292</v>
      </c>
    </row>
    <row r="15" spans="1:34" x14ac:dyDescent="0.3">
      <c r="A15" s="1">
        <v>13</v>
      </c>
      <c r="B15" t="s">
        <v>68</v>
      </c>
      <c r="C15">
        <v>4029209</v>
      </c>
      <c r="D15">
        <v>2359809</v>
      </c>
      <c r="E15" s="2">
        <v>45917</v>
      </c>
      <c r="F15" s="2">
        <v>45919</v>
      </c>
      <c r="G15" t="s">
        <v>41</v>
      </c>
      <c r="H15" t="s">
        <v>69</v>
      </c>
      <c r="I15" t="s">
        <v>26</v>
      </c>
      <c r="J15" s="3">
        <v>45922.843055555553</v>
      </c>
      <c r="K15">
        <f t="shared" si="0"/>
        <v>9</v>
      </c>
      <c r="L15">
        <v>2025</v>
      </c>
      <c r="M15">
        <v>2025</v>
      </c>
      <c r="N15">
        <v>2025</v>
      </c>
      <c r="O15">
        <v>2025</v>
      </c>
      <c r="P15" t="s">
        <v>27</v>
      </c>
      <c r="Q15" t="s">
        <v>28</v>
      </c>
      <c r="R15" s="2">
        <v>45650</v>
      </c>
      <c r="S15">
        <v>0</v>
      </c>
      <c r="T15" t="s">
        <v>29</v>
      </c>
      <c r="U15" t="s">
        <v>40</v>
      </c>
      <c r="V15" t="s">
        <v>70</v>
      </c>
      <c r="W15" t="s">
        <v>69</v>
      </c>
      <c r="X15" t="s">
        <v>36</v>
      </c>
      <c r="Y15" t="s">
        <v>33</v>
      </c>
      <c r="Z15" t="str">
        <f t="shared" si="1"/>
        <v>0-6</v>
      </c>
      <c r="AA15" t="s">
        <v>543</v>
      </c>
      <c r="AB15">
        <v>31</v>
      </c>
      <c r="AC15" t="str" cm="1">
        <f t="array" ref="AC15">_xlfn.SWITCH(AB15,
79,"Thành phố Hồ Chí Minh",
1,"Thành phố Hà Nội",
35,"Tỉnh Hà Nam",
31,"Thành phố Hải Phòng",
27,"Tỉnh Bắc Ninh",
77,"Tỉnh Bà Rịa - Vũng Tàu",
48,"Thành phố Đà Nẵng",
75,"Tỉnh Đồng Nai",
38,"Tỉnh Thanh Hoá",
82,"Tỉnh Tiền Giang",
74,"Tỉnh Bình Dương",
49,"Tỉnh Quảng Nam",
51,"Tỉnh Quảng Ngãi",
52,"Tỉnh Bình Định",
40,"Tỉnh Nghệ An",
"Không xác định"
)</f>
        <v>Thành phố Hải Phòng</v>
      </c>
      <c r="AD15" t="str">
        <f t="shared" si="2"/>
        <v>58.57%</v>
      </c>
      <c r="AE15" t="s">
        <v>624</v>
      </c>
      <c r="AF15" s="8">
        <f t="shared" si="3"/>
        <v>45922</v>
      </c>
      <c r="AG15" s="8">
        <f>_xlfn.XLOOKUP(AE15, Dev!$A:$A, Dev!$B:$B, "")</f>
        <v>45700.542974537035</v>
      </c>
      <c r="AH15" s="11">
        <f t="shared" si="4"/>
        <v>221.45702546296525</v>
      </c>
    </row>
    <row r="16" spans="1:34" x14ac:dyDescent="0.3">
      <c r="A16" s="1">
        <v>14</v>
      </c>
      <c r="B16" t="s">
        <v>71</v>
      </c>
      <c r="C16">
        <v>2517275</v>
      </c>
      <c r="D16">
        <v>1085820</v>
      </c>
      <c r="E16" s="2">
        <v>45922</v>
      </c>
      <c r="F16" s="2">
        <v>45922</v>
      </c>
      <c r="G16" t="s">
        <v>72</v>
      </c>
      <c r="H16" t="s">
        <v>73</v>
      </c>
      <c r="I16" t="s">
        <v>26</v>
      </c>
      <c r="J16" s="3">
        <v>45922.824305555558</v>
      </c>
      <c r="K16">
        <f t="shared" si="0"/>
        <v>9</v>
      </c>
      <c r="L16">
        <v>2025</v>
      </c>
      <c r="M16">
        <v>2025</v>
      </c>
      <c r="N16">
        <v>2025</v>
      </c>
      <c r="O16">
        <v>2025</v>
      </c>
      <c r="P16" t="s">
        <v>27</v>
      </c>
      <c r="Q16" t="s">
        <v>28</v>
      </c>
      <c r="R16" s="2">
        <v>45636</v>
      </c>
      <c r="S16">
        <v>0</v>
      </c>
      <c r="T16" t="s">
        <v>29</v>
      </c>
      <c r="U16" t="s">
        <v>30</v>
      </c>
      <c r="V16" t="s">
        <v>31</v>
      </c>
      <c r="W16" t="s">
        <v>73</v>
      </c>
      <c r="X16" t="s">
        <v>32</v>
      </c>
      <c r="Y16" t="s">
        <v>33</v>
      </c>
      <c r="Z16" t="str">
        <f t="shared" si="1"/>
        <v>0-6</v>
      </c>
      <c r="AA16" t="s">
        <v>544</v>
      </c>
      <c r="AB16">
        <v>31</v>
      </c>
      <c r="AC16" t="str" cm="1">
        <f t="array" ref="AC16">_xlfn.SWITCH(AB16,
79,"Thành phố Hồ Chí Minh",
1,"Thành phố Hà Nội",
35,"Tỉnh Hà Nam",
31,"Thành phố Hải Phòng",
27,"Tỉnh Bắc Ninh",
77,"Tỉnh Bà Rịa - Vũng Tàu",
48,"Thành phố Đà Nẵng",
75,"Tỉnh Đồng Nai",
38,"Tỉnh Thanh Hoá",
82,"Tỉnh Tiền Giang",
74,"Tỉnh Bình Dương",
49,"Tỉnh Quảng Nam",
51,"Tỉnh Quảng Ngãi",
52,"Tỉnh Bình Định",
40,"Tỉnh Nghệ An",
"Không xác định"
)</f>
        <v>Thành phố Hải Phòng</v>
      </c>
      <c r="AD16" t="str">
        <f t="shared" si="2"/>
        <v>43.13%</v>
      </c>
      <c r="AE16" t="s">
        <v>625</v>
      </c>
      <c r="AF16" s="8">
        <f t="shared" si="3"/>
        <v>45922</v>
      </c>
      <c r="AG16" s="8">
        <f>_xlfn.XLOOKUP(AE16, Dev!$A:$A, Dev!$B:$B, "")</f>
        <v>45751.643692129626</v>
      </c>
      <c r="AH16" s="11">
        <f t="shared" si="4"/>
        <v>170.35630787037371</v>
      </c>
    </row>
    <row r="17" spans="1:34" x14ac:dyDescent="0.3">
      <c r="A17" s="1">
        <v>15</v>
      </c>
      <c r="B17" t="s">
        <v>74</v>
      </c>
      <c r="C17">
        <v>1437000</v>
      </c>
      <c r="D17">
        <v>846318</v>
      </c>
      <c r="E17" s="2">
        <v>45916</v>
      </c>
      <c r="F17" s="2">
        <v>45920</v>
      </c>
      <c r="G17" t="s">
        <v>75</v>
      </c>
      <c r="H17" t="s">
        <v>76</v>
      </c>
      <c r="I17" t="s">
        <v>26</v>
      </c>
      <c r="J17" s="3">
        <v>45921.603472222225</v>
      </c>
      <c r="K17">
        <f t="shared" si="0"/>
        <v>9</v>
      </c>
      <c r="L17">
        <v>2025</v>
      </c>
      <c r="M17">
        <v>2025</v>
      </c>
      <c r="N17">
        <v>2025</v>
      </c>
      <c r="O17">
        <v>2025</v>
      </c>
      <c r="P17" t="s">
        <v>27</v>
      </c>
      <c r="Q17" t="s">
        <v>28</v>
      </c>
      <c r="R17" s="2">
        <v>45487</v>
      </c>
      <c r="S17">
        <v>1</v>
      </c>
      <c r="T17" t="s">
        <v>29</v>
      </c>
      <c r="U17" t="s">
        <v>40</v>
      </c>
      <c r="V17" t="s">
        <v>55</v>
      </c>
      <c r="W17" t="s">
        <v>448</v>
      </c>
      <c r="X17" t="s">
        <v>41</v>
      </c>
      <c r="Y17" t="s">
        <v>33</v>
      </c>
      <c r="Z17" t="str">
        <f t="shared" si="1"/>
        <v>0-6</v>
      </c>
      <c r="AA17" t="s">
        <v>545</v>
      </c>
      <c r="AB17">
        <v>27</v>
      </c>
      <c r="AC17" t="str" cm="1">
        <f t="array" ref="AC17">_xlfn.SWITCH(AB17,
79,"Thành phố Hồ Chí Minh",
1,"Thành phố Hà Nội",
35,"Tỉnh Hà Nam",
31,"Thành phố Hải Phòng",
27,"Tỉnh Bắc Ninh",
77,"Tỉnh Bà Rịa - Vũng Tàu",
48,"Thành phố Đà Nẵng",
75,"Tỉnh Đồng Nai",
38,"Tỉnh Thanh Hoá",
82,"Tỉnh Tiền Giang",
74,"Tỉnh Bình Dương",
49,"Tỉnh Quảng Nam",
51,"Tỉnh Quảng Ngãi",
52,"Tỉnh Bình Định",
40,"Tỉnh Nghệ An",
"Không xác định"
)</f>
        <v>Tỉnh Bắc Ninh</v>
      </c>
      <c r="AD17" t="str">
        <f t="shared" si="2"/>
        <v>58.89%</v>
      </c>
      <c r="AE17" t="s">
        <v>626</v>
      </c>
      <c r="AF17" s="8">
        <f t="shared" si="3"/>
        <v>45921</v>
      </c>
      <c r="AG17" s="8">
        <f>_xlfn.XLOOKUP(AE17, Dev!$A:$A, Dev!$B:$B, "")</f>
        <v>45748.820972222224</v>
      </c>
      <c r="AH17" s="11">
        <f t="shared" si="4"/>
        <v>172.17902777777635</v>
      </c>
    </row>
    <row r="18" spans="1:34" x14ac:dyDescent="0.3">
      <c r="A18" s="1">
        <v>16</v>
      </c>
      <c r="B18" t="s">
        <v>78</v>
      </c>
      <c r="C18">
        <v>1086236</v>
      </c>
      <c r="D18">
        <v>551057</v>
      </c>
      <c r="E18" s="2">
        <v>45919</v>
      </c>
      <c r="G18" t="s">
        <v>79</v>
      </c>
      <c r="H18" t="s">
        <v>80</v>
      </c>
      <c r="I18" t="s">
        <v>26</v>
      </c>
      <c r="J18" s="3">
        <v>45919.923611111109</v>
      </c>
      <c r="K18">
        <f t="shared" si="0"/>
        <v>9</v>
      </c>
      <c r="L18">
        <v>2025</v>
      </c>
      <c r="M18">
        <v>2025</v>
      </c>
      <c r="N18">
        <v>2025</v>
      </c>
      <c r="O18">
        <v>2025</v>
      </c>
      <c r="P18" t="s">
        <v>27</v>
      </c>
      <c r="Q18" t="s">
        <v>28</v>
      </c>
      <c r="R18" s="2">
        <v>45598</v>
      </c>
      <c r="S18">
        <v>0</v>
      </c>
      <c r="T18" t="s">
        <v>29</v>
      </c>
      <c r="U18" t="s">
        <v>40</v>
      </c>
      <c r="V18" t="s">
        <v>31</v>
      </c>
      <c r="W18" t="s">
        <v>449</v>
      </c>
      <c r="X18" t="s">
        <v>32</v>
      </c>
      <c r="Y18" t="s">
        <v>33</v>
      </c>
      <c r="Z18" t="str">
        <f t="shared" si="1"/>
        <v>0-6</v>
      </c>
      <c r="AA18" t="s">
        <v>546</v>
      </c>
      <c r="AB18">
        <v>1</v>
      </c>
      <c r="AC18" t="str" cm="1">
        <f t="array" ref="AC18">_xlfn.SWITCH(AB18,
79,"Thành phố Hồ Chí Minh",
1,"Thành phố Hà Nội",
35,"Tỉnh Hà Nam",
31,"Thành phố Hải Phòng",
27,"Tỉnh Bắc Ninh",
77,"Tỉnh Bà Rịa - Vũng Tàu",
48,"Thành phố Đà Nẵng",
75,"Tỉnh Đồng Nai",
38,"Tỉnh Thanh Hoá",
82,"Tỉnh Tiền Giang",
74,"Tỉnh Bình Dương",
49,"Tỉnh Quảng Nam",
51,"Tỉnh Quảng Ngãi",
52,"Tỉnh Bình Định",
40,"Tỉnh Nghệ An",
"Không xác định"
)</f>
        <v>Thành phố Hà Nội</v>
      </c>
      <c r="AD18" t="str">
        <f t="shared" si="2"/>
        <v>50.73%</v>
      </c>
      <c r="AE18" t="s">
        <v>627</v>
      </c>
      <c r="AF18" s="8">
        <f t="shared" si="3"/>
        <v>45919</v>
      </c>
      <c r="AG18" s="8">
        <f>_xlfn.XLOOKUP(AE18, Dev!$A:$A, Dev!$B:$B, "")</f>
        <v>45709.423483796294</v>
      </c>
      <c r="AH18" s="11">
        <f t="shared" si="4"/>
        <v>209.57651620370598</v>
      </c>
    </row>
    <row r="19" spans="1:34" x14ac:dyDescent="0.3">
      <c r="A19" s="1">
        <v>17</v>
      </c>
      <c r="B19" t="s">
        <v>81</v>
      </c>
      <c r="C19">
        <v>1499450</v>
      </c>
      <c r="D19">
        <v>1399450</v>
      </c>
      <c r="E19" s="2">
        <v>45916</v>
      </c>
      <c r="F19" s="2">
        <v>45916</v>
      </c>
      <c r="G19" t="s">
        <v>45</v>
      </c>
      <c r="H19" t="s">
        <v>82</v>
      </c>
      <c r="I19" t="s">
        <v>26</v>
      </c>
      <c r="J19" s="3">
        <v>45919.88958333333</v>
      </c>
      <c r="K19">
        <f t="shared" si="0"/>
        <v>9</v>
      </c>
      <c r="L19">
        <v>2025</v>
      </c>
      <c r="M19">
        <v>2025</v>
      </c>
      <c r="N19">
        <v>2025</v>
      </c>
      <c r="O19">
        <v>2025</v>
      </c>
      <c r="P19" t="s">
        <v>27</v>
      </c>
      <c r="Q19" t="s">
        <v>28</v>
      </c>
      <c r="R19" s="2">
        <v>45145</v>
      </c>
      <c r="S19">
        <v>2</v>
      </c>
      <c r="T19" t="s">
        <v>29</v>
      </c>
      <c r="U19" t="s">
        <v>40</v>
      </c>
      <c r="V19" t="s">
        <v>31</v>
      </c>
      <c r="W19" t="s">
        <v>82</v>
      </c>
      <c r="X19" t="s">
        <v>32</v>
      </c>
      <c r="Y19" t="s">
        <v>33</v>
      </c>
      <c r="Z19" t="str">
        <f t="shared" si="1"/>
        <v>0-6</v>
      </c>
      <c r="AA19" t="s">
        <v>547</v>
      </c>
      <c r="AB19">
        <v>27</v>
      </c>
      <c r="AC19" t="str" cm="1">
        <f t="array" ref="AC19">_xlfn.SWITCH(AB19,
79,"Thành phố Hồ Chí Minh",
1,"Thành phố Hà Nội",
35,"Tỉnh Hà Nam",
31,"Thành phố Hải Phòng",
27,"Tỉnh Bắc Ninh",
77,"Tỉnh Bà Rịa - Vũng Tàu",
48,"Thành phố Đà Nẵng",
75,"Tỉnh Đồng Nai",
38,"Tỉnh Thanh Hoá",
82,"Tỉnh Tiền Giang",
74,"Tỉnh Bình Dương",
49,"Tỉnh Quảng Nam",
51,"Tỉnh Quảng Ngãi",
52,"Tỉnh Bình Định",
40,"Tỉnh Nghệ An",
"Không xác định"
)</f>
        <v>Tỉnh Bắc Ninh</v>
      </c>
      <c r="AD19" t="str">
        <f t="shared" si="2"/>
        <v>93.33%</v>
      </c>
      <c r="AE19" t="s">
        <v>628</v>
      </c>
      <c r="AF19" s="8">
        <f t="shared" si="3"/>
        <v>45919</v>
      </c>
      <c r="AG19" s="8">
        <f>_xlfn.XLOOKUP(AE19, Dev!$A:$A, Dev!$B:$B, "")</f>
        <v>45784.413310185184</v>
      </c>
      <c r="AH19" s="11">
        <f t="shared" si="4"/>
        <v>134.58668981481605</v>
      </c>
    </row>
    <row r="20" spans="1:34" x14ac:dyDescent="0.3">
      <c r="A20" s="1">
        <v>18</v>
      </c>
      <c r="B20" t="s">
        <v>83</v>
      </c>
      <c r="C20">
        <v>525000</v>
      </c>
      <c r="D20">
        <v>600000</v>
      </c>
      <c r="E20" s="2">
        <v>45913</v>
      </c>
      <c r="F20" s="2">
        <v>45913</v>
      </c>
      <c r="G20" t="s">
        <v>41</v>
      </c>
      <c r="H20" t="s">
        <v>84</v>
      </c>
      <c r="I20" t="s">
        <v>26</v>
      </c>
      <c r="J20" s="3">
        <v>45919.887499999997</v>
      </c>
      <c r="K20">
        <f t="shared" si="0"/>
        <v>9</v>
      </c>
      <c r="L20">
        <v>2025</v>
      </c>
      <c r="M20">
        <v>2025</v>
      </c>
      <c r="N20">
        <v>2025</v>
      </c>
      <c r="O20">
        <v>2025</v>
      </c>
      <c r="P20" t="s">
        <v>27</v>
      </c>
      <c r="Q20" t="s">
        <v>28</v>
      </c>
      <c r="R20" s="2">
        <v>45719</v>
      </c>
      <c r="S20">
        <v>0</v>
      </c>
      <c r="T20" t="s">
        <v>29</v>
      </c>
      <c r="U20" t="s">
        <v>40</v>
      </c>
      <c r="V20" t="s">
        <v>31</v>
      </c>
      <c r="W20" t="s">
        <v>450</v>
      </c>
      <c r="X20" t="s">
        <v>77</v>
      </c>
      <c r="Y20" t="s">
        <v>33</v>
      </c>
      <c r="Z20" t="str">
        <f t="shared" si="1"/>
        <v>0-6</v>
      </c>
      <c r="AA20" t="s">
        <v>548</v>
      </c>
      <c r="AB20">
        <v>79</v>
      </c>
      <c r="AC20" t="str" cm="1">
        <f t="array" ref="AC20">_xlfn.SWITCH(AB20,
79,"Thành phố Hồ Chí Minh",
1,"Thành phố Hà Nội",
35,"Tỉnh Hà Nam",
31,"Thành phố Hải Phòng",
27,"Tỉnh Bắc Ninh",
77,"Tỉnh Bà Rịa - Vũng Tàu",
48,"Thành phố Đà Nẵng",
75,"Tỉnh Đồng Nai",
38,"Tỉnh Thanh Hoá",
82,"Tỉnh Tiền Giang",
74,"Tỉnh Bình Dương",
49,"Tỉnh Quảng Nam",
51,"Tỉnh Quảng Ngãi",
52,"Tỉnh Bình Định",
40,"Tỉnh Nghệ An",
"Không xác định"
)</f>
        <v>Thành phố Hồ Chí Minh</v>
      </c>
      <c r="AD20" t="str">
        <f t="shared" si="2"/>
        <v>114.29%</v>
      </c>
      <c r="AE20" t="s">
        <v>629</v>
      </c>
      <c r="AF20" s="8">
        <f t="shared" si="3"/>
        <v>45919</v>
      </c>
      <c r="AG20" s="8">
        <f>_xlfn.XLOOKUP(AE20, Dev!$A:$A, Dev!$B:$B, "")</f>
        <v>45768.756631944445</v>
      </c>
      <c r="AH20" s="11">
        <f t="shared" si="4"/>
        <v>150.24336805555504</v>
      </c>
    </row>
    <row r="21" spans="1:34" x14ac:dyDescent="0.3">
      <c r="A21" s="1">
        <v>19</v>
      </c>
      <c r="B21" t="s">
        <v>85</v>
      </c>
      <c r="C21">
        <v>1494700</v>
      </c>
      <c r="D21">
        <v>1928890</v>
      </c>
      <c r="E21" s="2">
        <v>45901</v>
      </c>
      <c r="F21" s="2">
        <v>45909</v>
      </c>
      <c r="G21" t="s">
        <v>45</v>
      </c>
      <c r="H21" t="s">
        <v>86</v>
      </c>
      <c r="I21" t="s">
        <v>26</v>
      </c>
      <c r="J21" s="3">
        <v>45918.849305555559</v>
      </c>
      <c r="K21">
        <f t="shared" si="0"/>
        <v>9</v>
      </c>
      <c r="L21">
        <v>2025</v>
      </c>
      <c r="M21">
        <v>2025</v>
      </c>
      <c r="N21">
        <v>2025</v>
      </c>
      <c r="O21">
        <v>2025</v>
      </c>
      <c r="P21" t="s">
        <v>27</v>
      </c>
      <c r="Q21" t="s">
        <v>28</v>
      </c>
      <c r="R21" s="2">
        <v>45598</v>
      </c>
      <c r="S21">
        <v>0</v>
      </c>
      <c r="T21" t="s">
        <v>29</v>
      </c>
      <c r="U21" t="s">
        <v>40</v>
      </c>
      <c r="V21" t="s">
        <v>31</v>
      </c>
      <c r="W21" t="s">
        <v>168</v>
      </c>
      <c r="X21" t="s">
        <v>41</v>
      </c>
      <c r="Y21" t="s">
        <v>33</v>
      </c>
      <c r="Z21" t="str">
        <f t="shared" si="1"/>
        <v>0-6</v>
      </c>
      <c r="AA21" t="s">
        <v>546</v>
      </c>
      <c r="AB21">
        <v>1</v>
      </c>
      <c r="AC21" t="str" cm="1">
        <f t="array" ref="AC21">_xlfn.SWITCH(AB21,
79,"Thành phố Hồ Chí Minh",
1,"Thành phố Hà Nội",
35,"Tỉnh Hà Nam",
31,"Thành phố Hải Phòng",
27,"Tỉnh Bắc Ninh",
77,"Tỉnh Bà Rịa - Vũng Tàu",
48,"Thành phố Đà Nẵng",
75,"Tỉnh Đồng Nai",
38,"Tỉnh Thanh Hoá",
82,"Tỉnh Tiền Giang",
74,"Tỉnh Bình Dương",
49,"Tỉnh Quảng Nam",
51,"Tỉnh Quảng Ngãi",
52,"Tỉnh Bình Định",
40,"Tỉnh Nghệ An",
"Không xác định"
)</f>
        <v>Thành phố Hà Nội</v>
      </c>
      <c r="AD21" t="str">
        <f t="shared" si="2"/>
        <v>129.05%</v>
      </c>
      <c r="AE21" t="s">
        <v>627</v>
      </c>
      <c r="AF21" s="8">
        <f t="shared" si="3"/>
        <v>45918</v>
      </c>
      <c r="AG21" s="8">
        <f>_xlfn.XLOOKUP(AE21, Dev!$A:$A, Dev!$B:$B, "")</f>
        <v>45709.423483796294</v>
      </c>
      <c r="AH21" s="11">
        <f t="shared" si="4"/>
        <v>208.57651620370598</v>
      </c>
    </row>
    <row r="22" spans="1:34" x14ac:dyDescent="0.3">
      <c r="A22" s="1">
        <v>20</v>
      </c>
      <c r="B22" t="s">
        <v>87</v>
      </c>
      <c r="C22">
        <v>742600</v>
      </c>
      <c r="D22">
        <v>742600</v>
      </c>
      <c r="E22" s="2">
        <v>45902</v>
      </c>
      <c r="F22" s="2">
        <v>45902</v>
      </c>
      <c r="G22" t="s">
        <v>45</v>
      </c>
      <c r="H22" t="s">
        <v>82</v>
      </c>
      <c r="I22" t="s">
        <v>26</v>
      </c>
      <c r="J22" s="3">
        <v>45918.738888888889</v>
      </c>
      <c r="K22">
        <f t="shared" si="0"/>
        <v>9</v>
      </c>
      <c r="L22">
        <v>2025</v>
      </c>
      <c r="M22">
        <v>2025</v>
      </c>
      <c r="N22">
        <v>2025</v>
      </c>
      <c r="O22">
        <v>2025</v>
      </c>
      <c r="P22" t="s">
        <v>27</v>
      </c>
      <c r="Q22" t="s">
        <v>28</v>
      </c>
      <c r="R22" s="2">
        <v>45381</v>
      </c>
      <c r="S22">
        <v>1</v>
      </c>
      <c r="T22" t="s">
        <v>29</v>
      </c>
      <c r="U22" t="s">
        <v>30</v>
      </c>
      <c r="V22" t="s">
        <v>31</v>
      </c>
      <c r="W22" t="s">
        <v>82</v>
      </c>
      <c r="X22" t="s">
        <v>32</v>
      </c>
      <c r="Y22" t="s">
        <v>33</v>
      </c>
      <c r="Z22" t="str">
        <f t="shared" si="1"/>
        <v>0-6</v>
      </c>
      <c r="AA22" t="s">
        <v>549</v>
      </c>
      <c r="AB22">
        <v>1</v>
      </c>
      <c r="AC22" t="str" cm="1">
        <f t="array" ref="AC22">_xlfn.SWITCH(AB22,
79,"Thành phố Hồ Chí Minh",
1,"Thành phố Hà Nội",
35,"Tỉnh Hà Nam",
31,"Thành phố Hải Phòng",
27,"Tỉnh Bắc Ninh",
77,"Tỉnh Bà Rịa - Vũng Tàu",
48,"Thành phố Đà Nẵng",
75,"Tỉnh Đồng Nai",
38,"Tỉnh Thanh Hoá",
82,"Tỉnh Tiền Giang",
74,"Tỉnh Bình Dương",
49,"Tỉnh Quảng Nam",
51,"Tỉnh Quảng Ngãi",
52,"Tỉnh Bình Định",
40,"Tỉnh Nghệ An",
"Không xác định"
)</f>
        <v>Thành phố Hà Nội</v>
      </c>
      <c r="AD22" t="str">
        <f t="shared" si="2"/>
        <v>100%</v>
      </c>
      <c r="AE22" t="s">
        <v>630</v>
      </c>
      <c r="AF22" s="8">
        <f t="shared" si="3"/>
        <v>45918</v>
      </c>
      <c r="AG22" s="8">
        <f>_xlfn.XLOOKUP(AE22, Dev!$A:$A, Dev!$B:$B, "")</f>
        <v>45706.477743055555</v>
      </c>
      <c r="AH22" s="11">
        <f t="shared" si="4"/>
        <v>211.52225694444496</v>
      </c>
    </row>
    <row r="23" spans="1:34" x14ac:dyDescent="0.3">
      <c r="A23" s="1">
        <v>21</v>
      </c>
      <c r="B23" t="s">
        <v>88</v>
      </c>
      <c r="C23">
        <v>414000</v>
      </c>
      <c r="D23">
        <v>331200</v>
      </c>
      <c r="E23" s="2">
        <v>45916</v>
      </c>
      <c r="F23" s="2">
        <v>45916</v>
      </c>
      <c r="G23" t="s">
        <v>89</v>
      </c>
      <c r="H23" t="s">
        <v>90</v>
      </c>
      <c r="I23" t="s">
        <v>26</v>
      </c>
      <c r="J23" s="3">
        <v>45917.796527777777</v>
      </c>
      <c r="K23">
        <f t="shared" si="0"/>
        <v>9</v>
      </c>
      <c r="L23">
        <v>2025</v>
      </c>
      <c r="M23">
        <v>2025</v>
      </c>
      <c r="N23">
        <v>2025</v>
      </c>
      <c r="O23">
        <v>2025</v>
      </c>
      <c r="P23" t="s">
        <v>27</v>
      </c>
      <c r="Q23" t="s">
        <v>28</v>
      </c>
      <c r="R23" s="2">
        <v>45330</v>
      </c>
      <c r="S23">
        <v>1</v>
      </c>
      <c r="T23" t="s">
        <v>29</v>
      </c>
      <c r="U23" t="s">
        <v>30</v>
      </c>
      <c r="V23" t="s">
        <v>31</v>
      </c>
      <c r="W23" t="s">
        <v>213</v>
      </c>
      <c r="X23" t="s">
        <v>32</v>
      </c>
      <c r="Y23" t="s">
        <v>33</v>
      </c>
      <c r="Z23" t="str">
        <f t="shared" si="1"/>
        <v>0-6</v>
      </c>
      <c r="AA23" t="s">
        <v>550</v>
      </c>
      <c r="AB23">
        <v>77</v>
      </c>
      <c r="AC23" t="str" cm="1">
        <f t="array" ref="AC23">_xlfn.SWITCH(AB23,
79,"Thành phố Hồ Chí Minh",
1,"Thành phố Hà Nội",
35,"Tỉnh Hà Nam",
31,"Thành phố Hải Phòng",
27,"Tỉnh Bắc Ninh",
77,"Tỉnh Bà Rịa - Vũng Tàu",
48,"Thành phố Đà Nẵng",
75,"Tỉnh Đồng Nai",
38,"Tỉnh Thanh Hoá",
82,"Tỉnh Tiền Giang",
74,"Tỉnh Bình Dương",
49,"Tỉnh Quảng Nam",
51,"Tỉnh Quảng Ngãi",
52,"Tỉnh Bình Định",
40,"Tỉnh Nghệ An",
"Không xác định"
)</f>
        <v>Tỉnh Bà Rịa - Vũng Tàu</v>
      </c>
      <c r="AD23" t="str">
        <f t="shared" si="2"/>
        <v>80%</v>
      </c>
      <c r="AE23" t="s">
        <v>631</v>
      </c>
      <c r="AF23" s="8">
        <f t="shared" si="3"/>
        <v>45917</v>
      </c>
      <c r="AG23" s="8">
        <f>_xlfn.XLOOKUP(AE23, Dev!$A:$A, Dev!$B:$B, "")</f>
        <v>45717.561261574076</v>
      </c>
      <c r="AH23" s="11">
        <f t="shared" si="4"/>
        <v>199.43873842592438</v>
      </c>
    </row>
    <row r="24" spans="1:34" x14ac:dyDescent="0.3">
      <c r="A24" s="1">
        <v>22</v>
      </c>
      <c r="B24" t="s">
        <v>91</v>
      </c>
      <c r="C24">
        <v>865000</v>
      </c>
      <c r="D24">
        <v>532000</v>
      </c>
      <c r="E24" s="2">
        <v>45911</v>
      </c>
      <c r="F24" s="2">
        <v>45911</v>
      </c>
      <c r="G24" t="s">
        <v>92</v>
      </c>
      <c r="H24" t="s">
        <v>93</v>
      </c>
      <c r="I24" t="s">
        <v>26</v>
      </c>
      <c r="J24" s="3">
        <v>45917.472916666666</v>
      </c>
      <c r="K24">
        <f t="shared" si="0"/>
        <v>9</v>
      </c>
      <c r="L24">
        <v>2025</v>
      </c>
      <c r="M24">
        <v>2025</v>
      </c>
      <c r="N24">
        <v>2025</v>
      </c>
      <c r="O24">
        <v>2025</v>
      </c>
      <c r="P24" t="s">
        <v>27</v>
      </c>
      <c r="Q24" t="s">
        <v>28</v>
      </c>
      <c r="R24" s="2">
        <v>45454</v>
      </c>
      <c r="S24">
        <v>1</v>
      </c>
      <c r="T24" t="s">
        <v>29</v>
      </c>
      <c r="U24" t="s">
        <v>40</v>
      </c>
      <c r="V24" t="s">
        <v>31</v>
      </c>
      <c r="W24" t="s">
        <v>451</v>
      </c>
      <c r="X24" t="s">
        <v>32</v>
      </c>
      <c r="Y24" t="s">
        <v>33</v>
      </c>
      <c r="Z24" t="str">
        <f t="shared" si="1"/>
        <v>0-6</v>
      </c>
      <c r="AA24" t="s">
        <v>551</v>
      </c>
      <c r="AB24">
        <v>1</v>
      </c>
      <c r="AC24" t="str" cm="1">
        <f t="array" ref="AC24">_xlfn.SWITCH(AB24,
79,"Thành phố Hồ Chí Minh",
1,"Thành phố Hà Nội",
35,"Tỉnh Hà Nam",
31,"Thành phố Hải Phòng",
27,"Tỉnh Bắc Ninh",
77,"Tỉnh Bà Rịa - Vũng Tàu",
48,"Thành phố Đà Nẵng",
75,"Tỉnh Đồng Nai",
38,"Tỉnh Thanh Hoá",
82,"Tỉnh Tiền Giang",
74,"Tỉnh Bình Dương",
49,"Tỉnh Quảng Nam",
51,"Tỉnh Quảng Ngãi",
52,"Tỉnh Bình Định",
40,"Tỉnh Nghệ An",
"Không xác định"
)</f>
        <v>Thành phố Hà Nội</v>
      </c>
      <c r="AD24" t="str">
        <f t="shared" si="2"/>
        <v>61.5%</v>
      </c>
      <c r="AE24" t="s">
        <v>632</v>
      </c>
      <c r="AF24" s="8">
        <f t="shared" si="3"/>
        <v>45917</v>
      </c>
      <c r="AG24" s="8">
        <f>_xlfn.XLOOKUP(AE24, Dev!$A:$A, Dev!$B:$B, "")</f>
        <v>45745.370266203703</v>
      </c>
      <c r="AH24" s="11">
        <f t="shared" si="4"/>
        <v>171.62973379629693</v>
      </c>
    </row>
    <row r="25" spans="1:34" x14ac:dyDescent="0.3">
      <c r="A25" s="1">
        <v>23</v>
      </c>
      <c r="B25" t="s">
        <v>94</v>
      </c>
      <c r="C25">
        <v>824538</v>
      </c>
      <c r="D25">
        <v>824538</v>
      </c>
      <c r="E25" s="2">
        <v>45913</v>
      </c>
      <c r="G25" t="s">
        <v>38</v>
      </c>
      <c r="H25" t="s">
        <v>95</v>
      </c>
      <c r="I25" t="s">
        <v>26</v>
      </c>
      <c r="J25" s="3">
        <v>45917.472222222219</v>
      </c>
      <c r="K25">
        <f t="shared" si="0"/>
        <v>9</v>
      </c>
      <c r="L25">
        <v>2025</v>
      </c>
      <c r="M25">
        <v>2025</v>
      </c>
      <c r="N25">
        <v>2025</v>
      </c>
      <c r="O25">
        <v>2025</v>
      </c>
      <c r="P25" t="s">
        <v>27</v>
      </c>
      <c r="Q25" t="s">
        <v>28</v>
      </c>
      <c r="R25" s="2">
        <v>45713</v>
      </c>
      <c r="S25">
        <v>0</v>
      </c>
      <c r="T25" t="s">
        <v>29</v>
      </c>
      <c r="U25" t="s">
        <v>30</v>
      </c>
      <c r="V25" t="s">
        <v>70</v>
      </c>
      <c r="W25" t="s">
        <v>95</v>
      </c>
      <c r="X25" t="s">
        <v>41</v>
      </c>
      <c r="Y25" t="s">
        <v>33</v>
      </c>
      <c r="Z25" t="str">
        <f t="shared" si="1"/>
        <v>0-6</v>
      </c>
      <c r="AA25" t="s">
        <v>552</v>
      </c>
      <c r="AB25">
        <v>1</v>
      </c>
      <c r="AC25" t="str" cm="1">
        <f t="array" ref="AC25">_xlfn.SWITCH(AB25,
79,"Thành phố Hồ Chí Minh",
1,"Thành phố Hà Nội",
35,"Tỉnh Hà Nam",
31,"Thành phố Hải Phòng",
27,"Tỉnh Bắc Ninh",
77,"Tỉnh Bà Rịa - Vũng Tàu",
48,"Thành phố Đà Nẵng",
75,"Tỉnh Đồng Nai",
38,"Tỉnh Thanh Hoá",
82,"Tỉnh Tiền Giang",
74,"Tỉnh Bình Dương",
49,"Tỉnh Quảng Nam",
51,"Tỉnh Quảng Ngãi",
52,"Tỉnh Bình Định",
40,"Tỉnh Nghệ An",
"Không xác định"
)</f>
        <v>Thành phố Hà Nội</v>
      </c>
      <c r="AD25" t="str">
        <f t="shared" si="2"/>
        <v>100%</v>
      </c>
      <c r="AE25" t="s">
        <v>633</v>
      </c>
      <c r="AF25" s="8">
        <f t="shared" si="3"/>
        <v>45917</v>
      </c>
      <c r="AG25" s="8">
        <f>_xlfn.XLOOKUP(AE25, Dev!$A:$A, Dev!$B:$B, "")</f>
        <v>45745.735625000001</v>
      </c>
      <c r="AH25" s="11">
        <f t="shared" si="4"/>
        <v>171.26437499999884</v>
      </c>
    </row>
    <row r="26" spans="1:34" x14ac:dyDescent="0.3">
      <c r="A26" s="1">
        <v>24</v>
      </c>
      <c r="B26" t="s">
        <v>96</v>
      </c>
      <c r="C26">
        <v>970700</v>
      </c>
      <c r="D26">
        <v>722000</v>
      </c>
      <c r="E26" s="2">
        <v>45917</v>
      </c>
      <c r="G26" t="s">
        <v>45</v>
      </c>
      <c r="H26" t="s">
        <v>97</v>
      </c>
      <c r="I26" t="s">
        <v>26</v>
      </c>
      <c r="J26" s="3">
        <v>45917.441666666666</v>
      </c>
      <c r="K26">
        <f t="shared" si="0"/>
        <v>9</v>
      </c>
      <c r="L26">
        <v>2025</v>
      </c>
      <c r="M26">
        <v>2025</v>
      </c>
      <c r="N26">
        <v>2025</v>
      </c>
      <c r="O26">
        <v>2025</v>
      </c>
      <c r="P26" t="s">
        <v>27</v>
      </c>
      <c r="Q26" t="s">
        <v>28</v>
      </c>
      <c r="R26" s="2">
        <v>45266</v>
      </c>
      <c r="S26">
        <v>1</v>
      </c>
      <c r="T26" t="s">
        <v>29</v>
      </c>
      <c r="U26" t="s">
        <v>40</v>
      </c>
      <c r="V26" t="s">
        <v>31</v>
      </c>
      <c r="W26" t="s">
        <v>452</v>
      </c>
      <c r="X26" t="s">
        <v>32</v>
      </c>
      <c r="Y26" t="s">
        <v>33</v>
      </c>
      <c r="Z26" t="str">
        <f t="shared" si="1"/>
        <v>0-6</v>
      </c>
      <c r="AA26" t="s">
        <v>553</v>
      </c>
      <c r="AB26">
        <v>1</v>
      </c>
      <c r="AC26" t="str" cm="1">
        <f t="array" ref="AC26">_xlfn.SWITCH(AB26,
79,"Thành phố Hồ Chí Minh",
1,"Thành phố Hà Nội",
35,"Tỉnh Hà Nam",
31,"Thành phố Hải Phòng",
27,"Tỉnh Bắc Ninh",
77,"Tỉnh Bà Rịa - Vũng Tàu",
48,"Thành phố Đà Nẵng",
75,"Tỉnh Đồng Nai",
38,"Tỉnh Thanh Hoá",
82,"Tỉnh Tiền Giang",
74,"Tỉnh Bình Dương",
49,"Tỉnh Quảng Nam",
51,"Tỉnh Quảng Ngãi",
52,"Tỉnh Bình Định",
40,"Tỉnh Nghệ An",
"Không xác định"
)</f>
        <v>Thành phố Hà Nội</v>
      </c>
      <c r="AD26" t="str">
        <f t="shared" si="2"/>
        <v>74.38%</v>
      </c>
      <c r="AE26" t="s">
        <v>634</v>
      </c>
      <c r="AF26" s="8">
        <f t="shared" si="3"/>
        <v>45917</v>
      </c>
      <c r="AG26" s="8">
        <f>_xlfn.XLOOKUP(AE26, Dev!$A:$A, Dev!$B:$B, "")</f>
        <v>45812.63957175926</v>
      </c>
      <c r="AH26" s="11">
        <f t="shared" si="4"/>
        <v>104.36042824073957</v>
      </c>
    </row>
    <row r="27" spans="1:34" x14ac:dyDescent="0.3">
      <c r="A27" s="1">
        <v>25</v>
      </c>
      <c r="B27" t="s">
        <v>98</v>
      </c>
      <c r="C27">
        <v>340360</v>
      </c>
      <c r="D27">
        <v>272287</v>
      </c>
      <c r="E27" s="2">
        <v>45910</v>
      </c>
      <c r="F27" s="2">
        <v>45910</v>
      </c>
      <c r="G27" t="s">
        <v>24</v>
      </c>
      <c r="H27" t="s">
        <v>99</v>
      </c>
      <c r="I27" t="s">
        <v>26</v>
      </c>
      <c r="J27" s="3">
        <v>45917.413194444445</v>
      </c>
      <c r="K27">
        <f t="shared" si="0"/>
        <v>9</v>
      </c>
      <c r="L27">
        <v>2025</v>
      </c>
      <c r="M27">
        <v>2025</v>
      </c>
      <c r="N27">
        <v>2025</v>
      </c>
      <c r="O27">
        <v>2025</v>
      </c>
      <c r="P27" t="s">
        <v>27</v>
      </c>
      <c r="Q27" t="s">
        <v>28</v>
      </c>
      <c r="R27" s="2">
        <v>44634</v>
      </c>
      <c r="S27">
        <v>3</v>
      </c>
      <c r="T27" t="s">
        <v>29</v>
      </c>
      <c r="U27" t="s">
        <v>30</v>
      </c>
      <c r="V27" t="s">
        <v>31</v>
      </c>
      <c r="W27" t="s">
        <v>99</v>
      </c>
      <c r="X27" t="s">
        <v>32</v>
      </c>
      <c r="Y27" t="s">
        <v>33</v>
      </c>
      <c r="Z27" t="str">
        <f t="shared" si="1"/>
        <v>0-6</v>
      </c>
      <c r="AA27" t="s">
        <v>554</v>
      </c>
      <c r="AB27">
        <v>79</v>
      </c>
      <c r="AC27" t="str" cm="1">
        <f t="array" ref="AC27">_xlfn.SWITCH(AB27,
79,"Thành phố Hồ Chí Minh",
1,"Thành phố Hà Nội",
35,"Tỉnh Hà Nam",
31,"Thành phố Hải Phòng",
27,"Tỉnh Bắc Ninh",
77,"Tỉnh Bà Rịa - Vũng Tàu",
48,"Thành phố Đà Nẵng",
75,"Tỉnh Đồng Nai",
38,"Tỉnh Thanh Hoá",
82,"Tỉnh Tiền Giang",
74,"Tỉnh Bình Dương",
49,"Tỉnh Quảng Nam",
51,"Tỉnh Quảng Ngãi",
52,"Tỉnh Bình Định",
40,"Tỉnh Nghệ An",
"Không xác định"
)</f>
        <v>Thành phố Hồ Chí Minh</v>
      </c>
      <c r="AD27" t="str">
        <f t="shared" si="2"/>
        <v>80%</v>
      </c>
      <c r="AE27" t="s">
        <v>635</v>
      </c>
      <c r="AF27" s="8">
        <f t="shared" si="3"/>
        <v>45917</v>
      </c>
      <c r="AG27" s="8">
        <f>_xlfn.XLOOKUP(AE27, Dev!$A:$A, Dev!$B:$B, "")</f>
        <v>45749.551354166666</v>
      </c>
      <c r="AH27" s="11">
        <f t="shared" si="4"/>
        <v>167.44864583333401</v>
      </c>
    </row>
    <row r="28" spans="1:34" x14ac:dyDescent="0.3">
      <c r="A28" s="1">
        <v>26</v>
      </c>
      <c r="B28" t="s">
        <v>100</v>
      </c>
      <c r="C28">
        <v>1044000</v>
      </c>
      <c r="D28">
        <v>193000</v>
      </c>
      <c r="E28" s="2">
        <v>45915</v>
      </c>
      <c r="F28" s="2">
        <v>45915</v>
      </c>
      <c r="G28" t="s">
        <v>41</v>
      </c>
      <c r="H28" t="s">
        <v>101</v>
      </c>
      <c r="I28" t="s">
        <v>26</v>
      </c>
      <c r="J28" s="3">
        <v>45915.690972222219</v>
      </c>
      <c r="K28">
        <f t="shared" si="0"/>
        <v>9</v>
      </c>
      <c r="L28">
        <v>2025</v>
      </c>
      <c r="M28">
        <v>2025</v>
      </c>
      <c r="N28">
        <v>2025</v>
      </c>
      <c r="O28">
        <v>2025</v>
      </c>
      <c r="P28" t="s">
        <v>27</v>
      </c>
      <c r="Q28" t="s">
        <v>28</v>
      </c>
      <c r="R28" s="2">
        <v>45650</v>
      </c>
      <c r="S28">
        <v>0</v>
      </c>
      <c r="T28" t="s">
        <v>29</v>
      </c>
      <c r="U28" t="s">
        <v>40</v>
      </c>
      <c r="V28" t="s">
        <v>31</v>
      </c>
      <c r="W28" t="s">
        <v>453</v>
      </c>
      <c r="X28" t="s">
        <v>41</v>
      </c>
      <c r="Y28" t="s">
        <v>33</v>
      </c>
      <c r="Z28" t="str">
        <f t="shared" si="1"/>
        <v>0-6</v>
      </c>
      <c r="AA28" t="s">
        <v>543</v>
      </c>
      <c r="AB28">
        <v>31</v>
      </c>
      <c r="AC28" t="str" cm="1">
        <f t="array" ref="AC28">_xlfn.SWITCH(AB28,
79,"Thành phố Hồ Chí Minh",
1,"Thành phố Hà Nội",
35,"Tỉnh Hà Nam",
31,"Thành phố Hải Phòng",
27,"Tỉnh Bắc Ninh",
77,"Tỉnh Bà Rịa - Vũng Tàu",
48,"Thành phố Đà Nẵng",
75,"Tỉnh Đồng Nai",
38,"Tỉnh Thanh Hoá",
82,"Tỉnh Tiền Giang",
74,"Tỉnh Bình Dương",
49,"Tỉnh Quảng Nam",
51,"Tỉnh Quảng Ngãi",
52,"Tỉnh Bình Định",
40,"Tỉnh Nghệ An",
"Không xác định"
)</f>
        <v>Thành phố Hải Phòng</v>
      </c>
      <c r="AD28" t="str">
        <f t="shared" si="2"/>
        <v>18.49%</v>
      </c>
      <c r="AE28" t="s">
        <v>624</v>
      </c>
      <c r="AF28" s="8">
        <f t="shared" si="3"/>
        <v>45915</v>
      </c>
      <c r="AG28" s="8">
        <f>_xlfn.XLOOKUP(AE28, Dev!$A:$A, Dev!$B:$B, "")</f>
        <v>45700.542974537035</v>
      </c>
      <c r="AH28" s="11">
        <f t="shared" si="4"/>
        <v>214.45702546296525</v>
      </c>
    </row>
    <row r="29" spans="1:34" x14ac:dyDescent="0.3">
      <c r="A29" s="1">
        <v>27</v>
      </c>
      <c r="B29" t="s">
        <v>102</v>
      </c>
      <c r="C29">
        <v>783750</v>
      </c>
      <c r="D29">
        <v>783750</v>
      </c>
      <c r="E29" s="2">
        <v>45914</v>
      </c>
      <c r="G29" t="s">
        <v>45</v>
      </c>
      <c r="H29" t="s">
        <v>103</v>
      </c>
      <c r="I29" t="s">
        <v>26</v>
      </c>
      <c r="J29" s="3">
        <v>45914.67291666667</v>
      </c>
      <c r="K29">
        <f t="shared" si="0"/>
        <v>9</v>
      </c>
      <c r="L29">
        <v>2025</v>
      </c>
      <c r="M29">
        <v>2025</v>
      </c>
      <c r="N29">
        <v>2025</v>
      </c>
      <c r="O29">
        <v>2025</v>
      </c>
      <c r="P29" t="s">
        <v>27</v>
      </c>
      <c r="Q29" t="s">
        <v>28</v>
      </c>
      <c r="R29" s="2">
        <v>45283</v>
      </c>
      <c r="S29">
        <v>1</v>
      </c>
      <c r="T29" t="s">
        <v>29</v>
      </c>
      <c r="U29" t="s">
        <v>40</v>
      </c>
      <c r="V29" t="s">
        <v>31</v>
      </c>
      <c r="W29" t="s">
        <v>454</v>
      </c>
      <c r="X29" t="s">
        <v>32</v>
      </c>
      <c r="Y29" t="s">
        <v>33</v>
      </c>
      <c r="Z29" t="str">
        <f t="shared" si="1"/>
        <v>0-6</v>
      </c>
      <c r="AA29" t="s">
        <v>538</v>
      </c>
      <c r="AB29">
        <v>35</v>
      </c>
      <c r="AC29" t="str" cm="1">
        <f t="array" ref="AC29">_xlfn.SWITCH(AB29,
79,"Thành phố Hồ Chí Minh",
1,"Thành phố Hà Nội",
35,"Tỉnh Hà Nam",
31,"Thành phố Hải Phòng",
27,"Tỉnh Bắc Ninh",
77,"Tỉnh Bà Rịa - Vũng Tàu",
48,"Thành phố Đà Nẵng",
75,"Tỉnh Đồng Nai",
38,"Tỉnh Thanh Hoá",
82,"Tỉnh Tiền Giang",
74,"Tỉnh Bình Dương",
49,"Tỉnh Quảng Nam",
51,"Tỉnh Quảng Ngãi",
52,"Tỉnh Bình Định",
40,"Tỉnh Nghệ An",
"Không xác định"
)</f>
        <v>Tỉnh Hà Nam</v>
      </c>
      <c r="AD29" t="str">
        <f t="shared" si="2"/>
        <v>100%</v>
      </c>
      <c r="AE29" t="s">
        <v>619</v>
      </c>
      <c r="AF29" s="8">
        <f t="shared" si="3"/>
        <v>45914</v>
      </c>
      <c r="AG29" s="8">
        <f>_xlfn.XLOOKUP(AE29, Dev!$A:$A, Dev!$B:$B, "")</f>
        <v>45723.677615740744</v>
      </c>
      <c r="AH29" s="11">
        <f t="shared" si="4"/>
        <v>190.32238425925607</v>
      </c>
    </row>
    <row r="30" spans="1:34" x14ac:dyDescent="0.3">
      <c r="A30" s="1">
        <v>28</v>
      </c>
      <c r="B30" t="s">
        <v>104</v>
      </c>
      <c r="C30">
        <v>550975</v>
      </c>
      <c r="D30">
        <v>550975</v>
      </c>
      <c r="E30" s="2">
        <v>45913</v>
      </c>
      <c r="F30" s="2">
        <v>45913</v>
      </c>
      <c r="G30" t="s">
        <v>105</v>
      </c>
      <c r="H30" t="s">
        <v>106</v>
      </c>
      <c r="I30" t="s">
        <v>26</v>
      </c>
      <c r="J30" s="3">
        <v>45914.423611111109</v>
      </c>
      <c r="K30">
        <f t="shared" si="0"/>
        <v>9</v>
      </c>
      <c r="L30">
        <v>2025</v>
      </c>
      <c r="M30">
        <v>2025</v>
      </c>
      <c r="N30">
        <v>2025</v>
      </c>
      <c r="O30">
        <v>2025</v>
      </c>
      <c r="P30" t="s">
        <v>27</v>
      </c>
      <c r="Q30" t="s">
        <v>28</v>
      </c>
      <c r="R30" s="2">
        <v>45650</v>
      </c>
      <c r="S30">
        <v>0</v>
      </c>
      <c r="T30" t="s">
        <v>29</v>
      </c>
      <c r="U30" t="s">
        <v>30</v>
      </c>
      <c r="V30" t="s">
        <v>31</v>
      </c>
      <c r="W30" t="s">
        <v>455</v>
      </c>
      <c r="X30" t="s">
        <v>36</v>
      </c>
      <c r="Y30" t="s">
        <v>33</v>
      </c>
      <c r="Z30" t="str">
        <f t="shared" si="1"/>
        <v>0-6</v>
      </c>
      <c r="AA30" t="s">
        <v>555</v>
      </c>
      <c r="AB30">
        <v>48</v>
      </c>
      <c r="AC30" t="str" cm="1">
        <f t="array" ref="AC30">_xlfn.SWITCH(AB30,
79,"Thành phố Hồ Chí Minh",
1,"Thành phố Hà Nội",
35,"Tỉnh Hà Nam",
31,"Thành phố Hải Phòng",
27,"Tỉnh Bắc Ninh",
77,"Tỉnh Bà Rịa - Vũng Tàu",
48,"Thành phố Đà Nẵng",
75,"Tỉnh Đồng Nai",
38,"Tỉnh Thanh Hoá",
82,"Tỉnh Tiền Giang",
74,"Tỉnh Bình Dương",
49,"Tỉnh Quảng Nam",
51,"Tỉnh Quảng Ngãi",
52,"Tỉnh Bình Định",
40,"Tỉnh Nghệ An",
"Không xác định"
)</f>
        <v>Thành phố Đà Nẵng</v>
      </c>
      <c r="AD30" t="str">
        <f t="shared" si="2"/>
        <v>100%</v>
      </c>
      <c r="AE30" t="s">
        <v>636</v>
      </c>
      <c r="AF30" s="8">
        <f t="shared" si="3"/>
        <v>45914</v>
      </c>
      <c r="AG30" s="8">
        <f>_xlfn.XLOOKUP(AE30, Dev!$A:$A, Dev!$B:$B, "")</f>
        <v>45718.405949074076</v>
      </c>
      <c r="AH30" s="11">
        <f t="shared" si="4"/>
        <v>195.59405092592351</v>
      </c>
    </row>
    <row r="31" spans="1:34" x14ac:dyDescent="0.3">
      <c r="A31" s="1">
        <v>29</v>
      </c>
      <c r="B31" t="s">
        <v>107</v>
      </c>
      <c r="C31">
        <v>419471</v>
      </c>
      <c r="D31">
        <v>419471</v>
      </c>
      <c r="E31" s="2">
        <v>45905</v>
      </c>
      <c r="F31" s="2">
        <v>45905</v>
      </c>
      <c r="G31" t="s">
        <v>50</v>
      </c>
      <c r="H31" t="s">
        <v>64</v>
      </c>
      <c r="I31" t="s">
        <v>26</v>
      </c>
      <c r="J31" s="3">
        <v>45912.580555555556</v>
      </c>
      <c r="K31">
        <f t="shared" si="0"/>
        <v>9</v>
      </c>
      <c r="L31">
        <v>2025</v>
      </c>
      <c r="M31">
        <v>2025</v>
      </c>
      <c r="N31">
        <v>2025</v>
      </c>
      <c r="O31">
        <v>2025</v>
      </c>
      <c r="P31" t="s">
        <v>27</v>
      </c>
      <c r="Q31" t="s">
        <v>28</v>
      </c>
      <c r="R31" s="2">
        <v>44269</v>
      </c>
      <c r="S31">
        <v>4</v>
      </c>
      <c r="T31" t="s">
        <v>29</v>
      </c>
      <c r="U31" t="s">
        <v>40</v>
      </c>
      <c r="V31" t="s">
        <v>31</v>
      </c>
      <c r="W31" t="s">
        <v>64</v>
      </c>
      <c r="X31" t="s">
        <v>32</v>
      </c>
      <c r="Y31" t="s">
        <v>33</v>
      </c>
      <c r="Z31" t="str">
        <f t="shared" si="1"/>
        <v>0-6</v>
      </c>
      <c r="AA31" t="s">
        <v>539</v>
      </c>
      <c r="AB31">
        <v>79</v>
      </c>
      <c r="AC31" t="str" cm="1">
        <f t="array" ref="AC31">_xlfn.SWITCH(AB31,
79,"Thành phố Hồ Chí Minh",
1,"Thành phố Hà Nội",
35,"Tỉnh Hà Nam",
31,"Thành phố Hải Phòng",
27,"Tỉnh Bắc Ninh",
77,"Tỉnh Bà Rịa - Vũng Tàu",
48,"Thành phố Đà Nẵng",
75,"Tỉnh Đồng Nai",
38,"Tỉnh Thanh Hoá",
82,"Tỉnh Tiền Giang",
74,"Tỉnh Bình Dương",
49,"Tỉnh Quảng Nam",
51,"Tỉnh Quảng Ngãi",
52,"Tỉnh Bình Định",
40,"Tỉnh Nghệ An",
"Không xác định"
)</f>
        <v>Thành phố Hồ Chí Minh</v>
      </c>
      <c r="AD31" t="str">
        <f t="shared" si="2"/>
        <v>100%</v>
      </c>
      <c r="AE31" t="s">
        <v>620</v>
      </c>
      <c r="AF31" s="8">
        <f t="shared" si="3"/>
        <v>45912</v>
      </c>
      <c r="AG31" s="8">
        <f>_xlfn.XLOOKUP(AE31, Dev!$A:$A, Dev!$B:$B, "")</f>
        <v>45689</v>
      </c>
      <c r="AH31" s="11">
        <f t="shared" si="4"/>
        <v>223</v>
      </c>
    </row>
    <row r="32" spans="1:34" x14ac:dyDescent="0.3">
      <c r="A32" s="1">
        <v>30</v>
      </c>
      <c r="B32" t="s">
        <v>108</v>
      </c>
      <c r="C32">
        <v>398499</v>
      </c>
      <c r="D32">
        <v>398499</v>
      </c>
      <c r="E32" s="2">
        <v>45903</v>
      </c>
      <c r="F32" s="2">
        <v>45903</v>
      </c>
      <c r="G32" t="s">
        <v>50</v>
      </c>
      <c r="H32" t="s">
        <v>64</v>
      </c>
      <c r="I32" t="s">
        <v>26</v>
      </c>
      <c r="J32" s="3">
        <v>45912.577777777777</v>
      </c>
      <c r="K32">
        <f t="shared" si="0"/>
        <v>9</v>
      </c>
      <c r="L32">
        <v>2025</v>
      </c>
      <c r="M32">
        <v>2025</v>
      </c>
      <c r="N32">
        <v>2025</v>
      </c>
      <c r="O32">
        <v>2025</v>
      </c>
      <c r="P32" t="s">
        <v>27</v>
      </c>
      <c r="Q32" t="s">
        <v>28</v>
      </c>
      <c r="R32" s="2">
        <v>44269</v>
      </c>
      <c r="S32">
        <v>4</v>
      </c>
      <c r="T32" t="s">
        <v>29</v>
      </c>
      <c r="U32" t="s">
        <v>40</v>
      </c>
      <c r="V32" t="s">
        <v>31</v>
      </c>
      <c r="W32" t="s">
        <v>64</v>
      </c>
      <c r="X32" t="s">
        <v>32</v>
      </c>
      <c r="Y32" t="s">
        <v>33</v>
      </c>
      <c r="Z32" t="str">
        <f t="shared" si="1"/>
        <v>0-6</v>
      </c>
      <c r="AA32" t="s">
        <v>539</v>
      </c>
      <c r="AB32">
        <v>79</v>
      </c>
      <c r="AC32" t="str" cm="1">
        <f t="array" ref="AC32">_xlfn.SWITCH(AB32,
79,"Thành phố Hồ Chí Minh",
1,"Thành phố Hà Nội",
35,"Tỉnh Hà Nam",
31,"Thành phố Hải Phòng",
27,"Tỉnh Bắc Ninh",
77,"Tỉnh Bà Rịa - Vũng Tàu",
48,"Thành phố Đà Nẵng",
75,"Tỉnh Đồng Nai",
38,"Tỉnh Thanh Hoá",
82,"Tỉnh Tiền Giang",
74,"Tỉnh Bình Dương",
49,"Tỉnh Quảng Nam",
51,"Tỉnh Quảng Ngãi",
52,"Tỉnh Bình Định",
40,"Tỉnh Nghệ An",
"Không xác định"
)</f>
        <v>Thành phố Hồ Chí Minh</v>
      </c>
      <c r="AD32" t="str">
        <f t="shared" si="2"/>
        <v>100%</v>
      </c>
      <c r="AE32" t="s">
        <v>620</v>
      </c>
      <c r="AF32" s="8">
        <f t="shared" si="3"/>
        <v>45912</v>
      </c>
      <c r="AG32" s="8">
        <f>_xlfn.XLOOKUP(AE32, Dev!$A:$A, Dev!$B:$B, "")</f>
        <v>45689</v>
      </c>
      <c r="AH32" s="11">
        <f t="shared" si="4"/>
        <v>223</v>
      </c>
    </row>
    <row r="33" spans="1:34" x14ac:dyDescent="0.3">
      <c r="A33" s="1">
        <v>31</v>
      </c>
      <c r="B33" t="s">
        <v>109</v>
      </c>
      <c r="C33">
        <v>1919500</v>
      </c>
      <c r="D33">
        <v>715500</v>
      </c>
      <c r="E33" s="2">
        <v>45907</v>
      </c>
      <c r="F33" s="2">
        <v>45911</v>
      </c>
      <c r="G33" t="s">
        <v>110</v>
      </c>
      <c r="H33" t="s">
        <v>111</v>
      </c>
      <c r="I33" t="s">
        <v>26</v>
      </c>
      <c r="J33" s="3">
        <v>45911.451388888891</v>
      </c>
      <c r="K33">
        <f t="shared" si="0"/>
        <v>9</v>
      </c>
      <c r="L33">
        <v>2025</v>
      </c>
      <c r="M33">
        <v>2025</v>
      </c>
      <c r="N33">
        <v>2025</v>
      </c>
      <c r="O33">
        <v>2025</v>
      </c>
      <c r="P33" t="s">
        <v>27</v>
      </c>
      <c r="Q33" t="s">
        <v>28</v>
      </c>
      <c r="R33" s="2">
        <v>45619</v>
      </c>
      <c r="S33">
        <v>0</v>
      </c>
      <c r="T33" t="s">
        <v>29</v>
      </c>
      <c r="U33" t="s">
        <v>30</v>
      </c>
      <c r="V33" t="s">
        <v>31</v>
      </c>
      <c r="W33" t="s">
        <v>111</v>
      </c>
      <c r="X33" t="s">
        <v>41</v>
      </c>
      <c r="Y33" t="s">
        <v>33</v>
      </c>
      <c r="Z33" t="str">
        <f t="shared" si="1"/>
        <v>0-6</v>
      </c>
      <c r="AA33" t="s">
        <v>556</v>
      </c>
      <c r="AB33">
        <v>1</v>
      </c>
      <c r="AC33" t="str" cm="1">
        <f t="array" ref="AC33">_xlfn.SWITCH(AB33,
79,"Thành phố Hồ Chí Minh",
1,"Thành phố Hà Nội",
35,"Tỉnh Hà Nam",
31,"Thành phố Hải Phòng",
27,"Tỉnh Bắc Ninh",
77,"Tỉnh Bà Rịa - Vũng Tàu",
48,"Thành phố Đà Nẵng",
75,"Tỉnh Đồng Nai",
38,"Tỉnh Thanh Hoá",
82,"Tỉnh Tiền Giang",
74,"Tỉnh Bình Dương",
49,"Tỉnh Quảng Nam",
51,"Tỉnh Quảng Ngãi",
52,"Tỉnh Bình Định",
40,"Tỉnh Nghệ An",
"Không xác định"
)</f>
        <v>Thành phố Hà Nội</v>
      </c>
      <c r="AD33" t="str">
        <f t="shared" si="2"/>
        <v>37.28%</v>
      </c>
      <c r="AE33" t="s">
        <v>637</v>
      </c>
      <c r="AF33" s="8">
        <f t="shared" si="3"/>
        <v>45911</v>
      </c>
      <c r="AG33" s="8">
        <f>_xlfn.XLOOKUP(AE33, Dev!$A:$A, Dev!$B:$B, "")</f>
        <v>45680.692175925928</v>
      </c>
      <c r="AH33" s="11">
        <f t="shared" si="4"/>
        <v>230.30782407407241</v>
      </c>
    </row>
    <row r="34" spans="1:34" x14ac:dyDescent="0.3">
      <c r="A34" s="1">
        <v>32</v>
      </c>
      <c r="B34" t="s">
        <v>112</v>
      </c>
      <c r="C34">
        <v>172000</v>
      </c>
      <c r="D34">
        <v>137600</v>
      </c>
      <c r="E34" s="2">
        <v>45900</v>
      </c>
      <c r="F34" s="2">
        <v>45900</v>
      </c>
      <c r="G34" t="s">
        <v>113</v>
      </c>
      <c r="H34" t="s">
        <v>114</v>
      </c>
      <c r="I34" t="s">
        <v>26</v>
      </c>
      <c r="J34" s="3">
        <v>45909.602777777778</v>
      </c>
      <c r="K34">
        <f t="shared" ref="K34:K65" si="5">MONTH(J34)</f>
        <v>9</v>
      </c>
      <c r="L34">
        <v>2025</v>
      </c>
      <c r="M34">
        <v>2025</v>
      </c>
      <c r="N34">
        <v>2025</v>
      </c>
      <c r="O34">
        <v>2025</v>
      </c>
      <c r="P34" t="s">
        <v>27</v>
      </c>
      <c r="Q34" t="s">
        <v>28</v>
      </c>
      <c r="R34" s="2">
        <v>44269</v>
      </c>
      <c r="S34">
        <v>4</v>
      </c>
      <c r="T34" t="s">
        <v>29</v>
      </c>
      <c r="U34" t="s">
        <v>40</v>
      </c>
      <c r="V34" t="s">
        <v>31</v>
      </c>
      <c r="W34" t="s">
        <v>456</v>
      </c>
      <c r="X34" t="s">
        <v>32</v>
      </c>
      <c r="Y34" t="s">
        <v>33</v>
      </c>
      <c r="Z34" t="str">
        <f t="shared" ref="Z34:Z65" si="6">IF(S34&lt;=6,"0-6",
IF(S34&lt;=17,"7-17",
IF(S34&lt;=35,"18-35",
IF(S34&lt;=55,"36-55",
"56+"))))</f>
        <v>0-6</v>
      </c>
      <c r="AA34" t="s">
        <v>539</v>
      </c>
      <c r="AB34">
        <v>79</v>
      </c>
      <c r="AC34" t="str" cm="1">
        <f t="array" ref="AC34">_xlfn.SWITCH(AB34,
79,"Thành phố Hồ Chí Minh",
1,"Thành phố Hà Nội",
35,"Tỉnh Hà Nam",
31,"Thành phố Hải Phòng",
27,"Tỉnh Bắc Ninh",
77,"Tỉnh Bà Rịa - Vũng Tàu",
48,"Thành phố Đà Nẵng",
75,"Tỉnh Đồng Nai",
38,"Tỉnh Thanh Hoá",
82,"Tỉnh Tiền Giang",
74,"Tỉnh Bình Dương",
49,"Tỉnh Quảng Nam",
51,"Tỉnh Quảng Ngãi",
52,"Tỉnh Bình Định",
40,"Tỉnh Nghệ An",
"Không xác định"
)</f>
        <v>Thành phố Hồ Chí Minh</v>
      </c>
      <c r="AD34" t="str">
        <f t="shared" si="2"/>
        <v>80%</v>
      </c>
      <c r="AE34" t="s">
        <v>620</v>
      </c>
      <c r="AF34" s="8">
        <f t="shared" si="3"/>
        <v>45909</v>
      </c>
      <c r="AG34" s="8">
        <f>_xlfn.XLOOKUP(AE34, Dev!$A:$A, Dev!$B:$B, "")</f>
        <v>45689</v>
      </c>
      <c r="AH34" s="11">
        <f t="shared" si="4"/>
        <v>220</v>
      </c>
    </row>
    <row r="35" spans="1:34" x14ac:dyDescent="0.3">
      <c r="A35" s="1">
        <v>33</v>
      </c>
      <c r="B35" t="s">
        <v>115</v>
      </c>
      <c r="C35">
        <v>104000</v>
      </c>
      <c r="D35">
        <v>83200</v>
      </c>
      <c r="E35" s="2">
        <v>45898</v>
      </c>
      <c r="F35" s="2">
        <v>45898</v>
      </c>
      <c r="G35" t="s">
        <v>113</v>
      </c>
      <c r="H35" t="s">
        <v>116</v>
      </c>
      <c r="I35" t="s">
        <v>26</v>
      </c>
      <c r="J35" s="3">
        <v>45909.599999999999</v>
      </c>
      <c r="K35">
        <f t="shared" si="5"/>
        <v>9</v>
      </c>
      <c r="L35">
        <v>2025</v>
      </c>
      <c r="M35">
        <v>2025</v>
      </c>
      <c r="N35">
        <v>2025</v>
      </c>
      <c r="O35">
        <v>2025</v>
      </c>
      <c r="P35" t="s">
        <v>27</v>
      </c>
      <c r="Q35" t="s">
        <v>28</v>
      </c>
      <c r="R35" s="2">
        <v>44269</v>
      </c>
      <c r="S35">
        <v>4</v>
      </c>
      <c r="T35" t="s">
        <v>29</v>
      </c>
      <c r="U35" t="s">
        <v>40</v>
      </c>
      <c r="V35" t="s">
        <v>31</v>
      </c>
      <c r="W35" t="s">
        <v>116</v>
      </c>
      <c r="X35" t="s">
        <v>32</v>
      </c>
      <c r="Y35" t="s">
        <v>33</v>
      </c>
      <c r="Z35" t="str">
        <f t="shared" si="6"/>
        <v>0-6</v>
      </c>
      <c r="AA35" t="s">
        <v>539</v>
      </c>
      <c r="AB35">
        <v>79</v>
      </c>
      <c r="AC35" t="str" cm="1">
        <f t="array" ref="AC35">_xlfn.SWITCH(AB35,
79,"Thành phố Hồ Chí Minh",
1,"Thành phố Hà Nội",
35,"Tỉnh Hà Nam",
31,"Thành phố Hải Phòng",
27,"Tỉnh Bắc Ninh",
77,"Tỉnh Bà Rịa - Vũng Tàu",
48,"Thành phố Đà Nẵng",
75,"Tỉnh Đồng Nai",
38,"Tỉnh Thanh Hoá",
82,"Tỉnh Tiền Giang",
74,"Tỉnh Bình Dương",
49,"Tỉnh Quảng Nam",
51,"Tỉnh Quảng Ngãi",
52,"Tỉnh Bình Định",
40,"Tỉnh Nghệ An",
"Không xác định"
)</f>
        <v>Thành phố Hồ Chí Minh</v>
      </c>
      <c r="AD35" t="str">
        <f t="shared" si="2"/>
        <v>80%</v>
      </c>
      <c r="AE35" t="s">
        <v>620</v>
      </c>
      <c r="AF35" s="8">
        <f t="shared" si="3"/>
        <v>45909</v>
      </c>
      <c r="AG35" s="8">
        <f>_xlfn.XLOOKUP(AE35, Dev!$A:$A, Dev!$B:$B, "")</f>
        <v>45689</v>
      </c>
      <c r="AH35" s="11">
        <f t="shared" si="4"/>
        <v>220</v>
      </c>
    </row>
    <row r="36" spans="1:34" x14ac:dyDescent="0.3">
      <c r="A36" s="1">
        <v>34</v>
      </c>
      <c r="B36" t="s">
        <v>117</v>
      </c>
      <c r="C36">
        <v>72000</v>
      </c>
      <c r="D36">
        <v>25600</v>
      </c>
      <c r="E36" s="2">
        <v>45896</v>
      </c>
      <c r="F36" s="2">
        <v>45896</v>
      </c>
      <c r="G36" t="s">
        <v>113</v>
      </c>
      <c r="H36" t="s">
        <v>118</v>
      </c>
      <c r="I36" t="s">
        <v>26</v>
      </c>
      <c r="J36" s="3">
        <v>45909.59652777778</v>
      </c>
      <c r="K36">
        <f t="shared" si="5"/>
        <v>9</v>
      </c>
      <c r="L36">
        <v>2025</v>
      </c>
      <c r="M36">
        <v>2025</v>
      </c>
      <c r="N36">
        <v>2025</v>
      </c>
      <c r="O36">
        <v>2025</v>
      </c>
      <c r="P36" t="s">
        <v>27</v>
      </c>
      <c r="Q36" t="s">
        <v>28</v>
      </c>
      <c r="R36" s="2">
        <v>44269</v>
      </c>
      <c r="S36">
        <v>4</v>
      </c>
      <c r="T36" t="s">
        <v>29</v>
      </c>
      <c r="U36" t="s">
        <v>40</v>
      </c>
      <c r="V36" t="s">
        <v>31</v>
      </c>
      <c r="W36" t="s">
        <v>118</v>
      </c>
      <c r="X36" t="s">
        <v>32</v>
      </c>
      <c r="Y36" t="s">
        <v>33</v>
      </c>
      <c r="Z36" t="str">
        <f t="shared" si="6"/>
        <v>0-6</v>
      </c>
      <c r="AA36" t="s">
        <v>539</v>
      </c>
      <c r="AB36">
        <v>79</v>
      </c>
      <c r="AC36" t="str" cm="1">
        <f t="array" ref="AC36">_xlfn.SWITCH(AB36,
79,"Thành phố Hồ Chí Minh",
1,"Thành phố Hà Nội",
35,"Tỉnh Hà Nam",
31,"Thành phố Hải Phòng",
27,"Tỉnh Bắc Ninh",
77,"Tỉnh Bà Rịa - Vũng Tàu",
48,"Thành phố Đà Nẵng",
75,"Tỉnh Đồng Nai",
38,"Tỉnh Thanh Hoá",
82,"Tỉnh Tiền Giang",
74,"Tỉnh Bình Dương",
49,"Tỉnh Quảng Nam",
51,"Tỉnh Quảng Ngãi",
52,"Tỉnh Bình Định",
40,"Tỉnh Nghệ An",
"Không xác định"
)</f>
        <v>Thành phố Hồ Chí Minh</v>
      </c>
      <c r="AD36" t="str">
        <f t="shared" si="2"/>
        <v>35.56%</v>
      </c>
      <c r="AE36" t="s">
        <v>620</v>
      </c>
      <c r="AF36" s="8">
        <f t="shared" si="3"/>
        <v>45909</v>
      </c>
      <c r="AG36" s="8">
        <f>_xlfn.XLOOKUP(AE36, Dev!$A:$A, Dev!$B:$B, "")</f>
        <v>45689</v>
      </c>
      <c r="AH36" s="11">
        <f t="shared" si="4"/>
        <v>220</v>
      </c>
    </row>
    <row r="37" spans="1:34" x14ac:dyDescent="0.3">
      <c r="A37" s="1">
        <v>35</v>
      </c>
      <c r="B37" t="s">
        <v>119</v>
      </c>
      <c r="C37">
        <v>288000</v>
      </c>
      <c r="D37">
        <v>206400</v>
      </c>
      <c r="E37" s="2">
        <v>45893</v>
      </c>
      <c r="F37" s="2">
        <v>45893</v>
      </c>
      <c r="G37" t="s">
        <v>113</v>
      </c>
      <c r="H37" t="s">
        <v>120</v>
      </c>
      <c r="I37" t="s">
        <v>26</v>
      </c>
      <c r="J37" s="3">
        <v>45909.593055555553</v>
      </c>
      <c r="K37">
        <f t="shared" si="5"/>
        <v>9</v>
      </c>
      <c r="L37">
        <v>2025</v>
      </c>
      <c r="M37">
        <v>2025</v>
      </c>
      <c r="N37">
        <v>2025</v>
      </c>
      <c r="O37">
        <v>2025</v>
      </c>
      <c r="P37" t="s">
        <v>27</v>
      </c>
      <c r="Q37" t="s">
        <v>28</v>
      </c>
      <c r="R37" s="2">
        <v>44269</v>
      </c>
      <c r="S37">
        <v>4</v>
      </c>
      <c r="T37" t="s">
        <v>29</v>
      </c>
      <c r="U37" t="s">
        <v>40</v>
      </c>
      <c r="V37" t="s">
        <v>31</v>
      </c>
      <c r="W37" t="s">
        <v>120</v>
      </c>
      <c r="X37" t="s">
        <v>32</v>
      </c>
      <c r="Y37" t="s">
        <v>33</v>
      </c>
      <c r="Z37" t="str">
        <f t="shared" si="6"/>
        <v>0-6</v>
      </c>
      <c r="AA37" t="s">
        <v>539</v>
      </c>
      <c r="AB37">
        <v>79</v>
      </c>
      <c r="AC37" t="str" cm="1">
        <f t="array" ref="AC37">_xlfn.SWITCH(AB37,
79,"Thành phố Hồ Chí Minh",
1,"Thành phố Hà Nội",
35,"Tỉnh Hà Nam",
31,"Thành phố Hải Phòng",
27,"Tỉnh Bắc Ninh",
77,"Tỉnh Bà Rịa - Vũng Tàu",
48,"Thành phố Đà Nẵng",
75,"Tỉnh Đồng Nai",
38,"Tỉnh Thanh Hoá",
82,"Tỉnh Tiền Giang",
74,"Tỉnh Bình Dương",
49,"Tỉnh Quảng Nam",
51,"Tỉnh Quảng Ngãi",
52,"Tỉnh Bình Định",
40,"Tỉnh Nghệ An",
"Không xác định"
)</f>
        <v>Thành phố Hồ Chí Minh</v>
      </c>
      <c r="AD37" t="str">
        <f t="shared" si="2"/>
        <v>71.67%</v>
      </c>
      <c r="AE37" t="s">
        <v>620</v>
      </c>
      <c r="AF37" s="8">
        <f t="shared" si="3"/>
        <v>45909</v>
      </c>
      <c r="AG37" s="8">
        <f>_xlfn.XLOOKUP(AE37, Dev!$A:$A, Dev!$B:$B, "")</f>
        <v>45689</v>
      </c>
      <c r="AH37" s="11">
        <f t="shared" si="4"/>
        <v>220</v>
      </c>
    </row>
    <row r="38" spans="1:34" x14ac:dyDescent="0.3">
      <c r="A38" s="1">
        <v>36</v>
      </c>
      <c r="B38" t="s">
        <v>121</v>
      </c>
      <c r="C38">
        <v>1634324</v>
      </c>
      <c r="D38">
        <v>578200</v>
      </c>
      <c r="E38" s="2">
        <v>45897</v>
      </c>
      <c r="G38" t="s">
        <v>66</v>
      </c>
      <c r="H38" t="s">
        <v>122</v>
      </c>
      <c r="I38" t="s">
        <v>26</v>
      </c>
      <c r="J38" s="3">
        <v>45908.561111111114</v>
      </c>
      <c r="K38">
        <f t="shared" si="5"/>
        <v>9</v>
      </c>
      <c r="L38">
        <v>2025</v>
      </c>
      <c r="M38">
        <v>2025</v>
      </c>
      <c r="N38">
        <v>2025</v>
      </c>
      <c r="O38">
        <v>2025</v>
      </c>
      <c r="P38" t="s">
        <v>27</v>
      </c>
      <c r="Q38" t="s">
        <v>28</v>
      </c>
      <c r="R38" s="2">
        <v>45589</v>
      </c>
      <c r="S38">
        <v>0</v>
      </c>
      <c r="T38" t="s">
        <v>29</v>
      </c>
      <c r="U38" t="s">
        <v>40</v>
      </c>
      <c r="V38" t="s">
        <v>31</v>
      </c>
      <c r="W38" t="s">
        <v>457</v>
      </c>
      <c r="X38" t="s">
        <v>41</v>
      </c>
      <c r="Y38" t="s">
        <v>33</v>
      </c>
      <c r="Z38" t="str">
        <f t="shared" si="6"/>
        <v>0-6</v>
      </c>
      <c r="AA38" t="s">
        <v>557</v>
      </c>
      <c r="AB38">
        <v>79</v>
      </c>
      <c r="AC38" t="str" cm="1">
        <f t="array" ref="AC38">_xlfn.SWITCH(AB38,
79,"Thành phố Hồ Chí Minh",
1,"Thành phố Hà Nội",
35,"Tỉnh Hà Nam",
31,"Thành phố Hải Phòng",
27,"Tỉnh Bắc Ninh",
77,"Tỉnh Bà Rịa - Vũng Tàu",
48,"Thành phố Đà Nẵng",
75,"Tỉnh Đồng Nai",
38,"Tỉnh Thanh Hoá",
82,"Tỉnh Tiền Giang",
74,"Tỉnh Bình Dương",
49,"Tỉnh Quảng Nam",
51,"Tỉnh Quảng Ngãi",
52,"Tỉnh Bình Định",
40,"Tỉnh Nghệ An",
"Không xác định"
)</f>
        <v>Thành phố Hồ Chí Minh</v>
      </c>
      <c r="AD38" t="str">
        <f t="shared" si="2"/>
        <v>35.38%</v>
      </c>
      <c r="AE38" t="s">
        <v>638</v>
      </c>
      <c r="AF38" s="8">
        <f t="shared" si="3"/>
        <v>45908</v>
      </c>
      <c r="AG38" s="8">
        <f>_xlfn.XLOOKUP(AE38, Dev!$A:$A, Dev!$B:$B, "")</f>
        <v>45829.619409722225</v>
      </c>
      <c r="AH38" s="11">
        <f t="shared" si="4"/>
        <v>78.3805902777749</v>
      </c>
    </row>
    <row r="39" spans="1:34" x14ac:dyDescent="0.3">
      <c r="A39" s="1">
        <v>37</v>
      </c>
      <c r="B39" t="s">
        <v>123</v>
      </c>
      <c r="C39">
        <v>514000</v>
      </c>
      <c r="D39">
        <v>411200</v>
      </c>
      <c r="E39" s="2">
        <v>45908</v>
      </c>
      <c r="G39" t="s">
        <v>124</v>
      </c>
      <c r="H39" t="s">
        <v>125</v>
      </c>
      <c r="I39" t="s">
        <v>26</v>
      </c>
      <c r="J39" s="3">
        <v>45908.477083333331</v>
      </c>
      <c r="K39">
        <f t="shared" si="5"/>
        <v>9</v>
      </c>
      <c r="L39">
        <v>2025</v>
      </c>
      <c r="M39">
        <v>2025</v>
      </c>
      <c r="N39">
        <v>2025</v>
      </c>
      <c r="O39">
        <v>2025</v>
      </c>
      <c r="P39" t="s">
        <v>27</v>
      </c>
      <c r="Q39" t="s">
        <v>28</v>
      </c>
      <c r="R39" s="2">
        <v>45678</v>
      </c>
      <c r="S39">
        <v>0</v>
      </c>
      <c r="T39" t="s">
        <v>29</v>
      </c>
      <c r="U39" t="s">
        <v>40</v>
      </c>
      <c r="V39" t="s">
        <v>31</v>
      </c>
      <c r="W39" t="s">
        <v>125</v>
      </c>
      <c r="X39" t="s">
        <v>32</v>
      </c>
      <c r="Y39" t="s">
        <v>33</v>
      </c>
      <c r="Z39" t="str">
        <f t="shared" si="6"/>
        <v>0-6</v>
      </c>
      <c r="AA39" t="s">
        <v>558</v>
      </c>
      <c r="AB39">
        <v>75</v>
      </c>
      <c r="AC39" t="str" cm="1">
        <f t="array" ref="AC39">_xlfn.SWITCH(AB39,
79,"Thành phố Hồ Chí Minh",
1,"Thành phố Hà Nội",
35,"Tỉnh Hà Nam",
31,"Thành phố Hải Phòng",
27,"Tỉnh Bắc Ninh",
77,"Tỉnh Bà Rịa - Vũng Tàu",
48,"Thành phố Đà Nẵng",
75,"Tỉnh Đồng Nai",
38,"Tỉnh Thanh Hoá",
82,"Tỉnh Tiền Giang",
74,"Tỉnh Bình Dương",
49,"Tỉnh Quảng Nam",
51,"Tỉnh Quảng Ngãi",
52,"Tỉnh Bình Định",
40,"Tỉnh Nghệ An",
"Không xác định"
)</f>
        <v>Tỉnh Đồng Nai</v>
      </c>
      <c r="AD39" t="str">
        <f t="shared" si="2"/>
        <v>80%</v>
      </c>
      <c r="AE39" t="s">
        <v>639</v>
      </c>
      <c r="AF39" s="8">
        <f t="shared" si="3"/>
        <v>45908</v>
      </c>
      <c r="AG39" s="8">
        <f>_xlfn.XLOOKUP(AE39, Dev!$A:$A, Dev!$B:$B, "")</f>
        <v>45740.808923611112</v>
      </c>
      <c r="AH39" s="11">
        <f t="shared" si="4"/>
        <v>167.19107638888818</v>
      </c>
    </row>
    <row r="40" spans="1:34" x14ac:dyDescent="0.3">
      <c r="A40" s="1">
        <v>38</v>
      </c>
      <c r="B40" t="s">
        <v>126</v>
      </c>
      <c r="C40">
        <v>7029962</v>
      </c>
      <c r="D40">
        <v>6122514</v>
      </c>
      <c r="E40" s="2">
        <v>45899</v>
      </c>
      <c r="F40" s="2">
        <v>45905</v>
      </c>
      <c r="G40" t="s">
        <v>127</v>
      </c>
      <c r="H40" t="s">
        <v>128</v>
      </c>
      <c r="I40" t="s">
        <v>26</v>
      </c>
      <c r="J40" s="3">
        <v>45908.470138888886</v>
      </c>
      <c r="K40">
        <f t="shared" si="5"/>
        <v>9</v>
      </c>
      <c r="L40">
        <v>2025</v>
      </c>
      <c r="M40">
        <v>2025</v>
      </c>
      <c r="N40">
        <v>2025</v>
      </c>
      <c r="O40">
        <v>2025</v>
      </c>
      <c r="P40" t="s">
        <v>27</v>
      </c>
      <c r="Q40" t="s">
        <v>28</v>
      </c>
      <c r="R40" s="2">
        <v>45509</v>
      </c>
      <c r="S40">
        <v>1</v>
      </c>
      <c r="T40" t="s">
        <v>29</v>
      </c>
      <c r="U40" t="s">
        <v>40</v>
      </c>
      <c r="V40" t="s">
        <v>70</v>
      </c>
      <c r="W40" t="s">
        <v>128</v>
      </c>
      <c r="X40" t="s">
        <v>32</v>
      </c>
      <c r="Y40" t="s">
        <v>33</v>
      </c>
      <c r="Z40" t="str">
        <f t="shared" si="6"/>
        <v>0-6</v>
      </c>
      <c r="AA40" t="s">
        <v>559</v>
      </c>
      <c r="AB40">
        <v>1</v>
      </c>
      <c r="AC40" t="str" cm="1">
        <f t="array" ref="AC40">_xlfn.SWITCH(AB40,
79,"Thành phố Hồ Chí Minh",
1,"Thành phố Hà Nội",
35,"Tỉnh Hà Nam",
31,"Thành phố Hải Phòng",
27,"Tỉnh Bắc Ninh",
77,"Tỉnh Bà Rịa - Vũng Tàu",
48,"Thành phố Đà Nẵng",
75,"Tỉnh Đồng Nai",
38,"Tỉnh Thanh Hoá",
82,"Tỉnh Tiền Giang",
74,"Tỉnh Bình Dương",
49,"Tỉnh Quảng Nam",
51,"Tỉnh Quảng Ngãi",
52,"Tỉnh Bình Định",
40,"Tỉnh Nghệ An",
"Không xác định"
)</f>
        <v>Thành phố Hà Nội</v>
      </c>
      <c r="AD40" t="str">
        <f t="shared" si="2"/>
        <v>87.09%</v>
      </c>
      <c r="AE40" t="s">
        <v>640</v>
      </c>
      <c r="AF40" s="8">
        <f t="shared" si="3"/>
        <v>45908</v>
      </c>
      <c r="AG40" s="8">
        <f>_xlfn.XLOOKUP(AE40, Dev!$A:$A, Dev!$B:$B, "")</f>
        <v>45559.429861111108</v>
      </c>
      <c r="AH40" s="11">
        <f t="shared" si="4"/>
        <v>348.57013888889196</v>
      </c>
    </row>
    <row r="41" spans="1:34" x14ac:dyDescent="0.3">
      <c r="A41" s="1">
        <v>39</v>
      </c>
      <c r="B41" t="s">
        <v>129</v>
      </c>
      <c r="C41">
        <v>1141700</v>
      </c>
      <c r="D41">
        <v>412000</v>
      </c>
      <c r="E41" s="2">
        <v>45899</v>
      </c>
      <c r="F41" s="2">
        <v>45899</v>
      </c>
      <c r="G41" t="s">
        <v>130</v>
      </c>
      <c r="H41" t="s">
        <v>131</v>
      </c>
      <c r="I41" t="s">
        <v>26</v>
      </c>
      <c r="J41" s="3">
        <v>45908.456250000003</v>
      </c>
      <c r="K41">
        <f t="shared" si="5"/>
        <v>9</v>
      </c>
      <c r="L41">
        <v>2025</v>
      </c>
      <c r="M41">
        <v>2025</v>
      </c>
      <c r="N41">
        <v>2025</v>
      </c>
      <c r="O41">
        <v>2025</v>
      </c>
      <c r="P41" t="s">
        <v>27</v>
      </c>
      <c r="Q41" t="s">
        <v>28</v>
      </c>
      <c r="R41" s="2">
        <v>45509</v>
      </c>
      <c r="S41">
        <v>1</v>
      </c>
      <c r="T41" t="s">
        <v>29</v>
      </c>
      <c r="U41" t="s">
        <v>40</v>
      </c>
      <c r="V41" t="s">
        <v>70</v>
      </c>
      <c r="W41" t="s">
        <v>131</v>
      </c>
      <c r="X41" t="s">
        <v>32</v>
      </c>
      <c r="Y41" t="s">
        <v>33</v>
      </c>
      <c r="Z41" t="str">
        <f t="shared" si="6"/>
        <v>0-6</v>
      </c>
      <c r="AA41" t="s">
        <v>559</v>
      </c>
      <c r="AB41">
        <v>1</v>
      </c>
      <c r="AC41" t="str" cm="1">
        <f t="array" ref="AC41">_xlfn.SWITCH(AB41,
79,"Thành phố Hồ Chí Minh",
1,"Thành phố Hà Nội",
35,"Tỉnh Hà Nam",
31,"Thành phố Hải Phòng",
27,"Tỉnh Bắc Ninh",
77,"Tỉnh Bà Rịa - Vũng Tàu",
48,"Thành phố Đà Nẵng",
75,"Tỉnh Đồng Nai",
38,"Tỉnh Thanh Hoá",
82,"Tỉnh Tiền Giang",
74,"Tỉnh Bình Dương",
49,"Tỉnh Quảng Nam",
51,"Tỉnh Quảng Ngãi",
52,"Tỉnh Bình Định",
40,"Tỉnh Nghệ An",
"Không xác định"
)</f>
        <v>Thành phố Hà Nội</v>
      </c>
      <c r="AD41" t="str">
        <f t="shared" si="2"/>
        <v>36.09%</v>
      </c>
      <c r="AE41" t="s">
        <v>640</v>
      </c>
      <c r="AF41" s="8">
        <f t="shared" si="3"/>
        <v>45908</v>
      </c>
      <c r="AG41" s="8">
        <f>_xlfn.XLOOKUP(AE41, Dev!$A:$A, Dev!$B:$B, "")</f>
        <v>45559.429861111108</v>
      </c>
      <c r="AH41" s="11">
        <f t="shared" si="4"/>
        <v>348.57013888889196</v>
      </c>
    </row>
    <row r="42" spans="1:34" x14ac:dyDescent="0.3">
      <c r="A42" s="1">
        <v>40</v>
      </c>
      <c r="B42" t="s">
        <v>132</v>
      </c>
      <c r="C42">
        <v>9217520</v>
      </c>
      <c r="D42">
        <v>6718016</v>
      </c>
      <c r="E42" s="2">
        <v>45894</v>
      </c>
      <c r="F42" s="2">
        <v>45899</v>
      </c>
      <c r="G42" t="s">
        <v>133</v>
      </c>
      <c r="H42" t="s">
        <v>134</v>
      </c>
      <c r="I42" t="s">
        <v>26</v>
      </c>
      <c r="J42" s="3">
        <v>45908.027777777781</v>
      </c>
      <c r="K42">
        <f t="shared" si="5"/>
        <v>9</v>
      </c>
      <c r="L42">
        <v>2025</v>
      </c>
      <c r="M42">
        <v>2025</v>
      </c>
      <c r="N42">
        <v>2025</v>
      </c>
      <c r="O42">
        <v>2025</v>
      </c>
      <c r="P42" t="s">
        <v>27</v>
      </c>
      <c r="Q42" t="s">
        <v>28</v>
      </c>
      <c r="R42" s="2">
        <v>45207</v>
      </c>
      <c r="S42">
        <v>2</v>
      </c>
      <c r="T42" t="s">
        <v>29</v>
      </c>
      <c r="U42" t="s">
        <v>40</v>
      </c>
      <c r="V42" t="s">
        <v>70</v>
      </c>
      <c r="W42" t="s">
        <v>134</v>
      </c>
      <c r="X42" t="s">
        <v>32</v>
      </c>
      <c r="Y42" t="s">
        <v>33</v>
      </c>
      <c r="Z42" t="str">
        <f t="shared" si="6"/>
        <v>0-6</v>
      </c>
      <c r="AA42" t="s">
        <v>560</v>
      </c>
      <c r="AB42">
        <v>1</v>
      </c>
      <c r="AC42" t="str" cm="1">
        <f t="array" ref="AC42">_xlfn.SWITCH(AB42,
79,"Thành phố Hồ Chí Minh",
1,"Thành phố Hà Nội",
35,"Tỉnh Hà Nam",
31,"Thành phố Hải Phòng",
27,"Tỉnh Bắc Ninh",
77,"Tỉnh Bà Rịa - Vũng Tàu",
48,"Thành phố Đà Nẵng",
75,"Tỉnh Đồng Nai",
38,"Tỉnh Thanh Hoá",
82,"Tỉnh Tiền Giang",
74,"Tỉnh Bình Dương",
49,"Tỉnh Quảng Nam",
51,"Tỉnh Quảng Ngãi",
52,"Tỉnh Bình Định",
40,"Tỉnh Nghệ An",
"Không xác định"
)</f>
        <v>Thành phố Hà Nội</v>
      </c>
      <c r="AD42" t="str">
        <f t="shared" si="2"/>
        <v>72.88%</v>
      </c>
      <c r="AE42" t="s">
        <v>641</v>
      </c>
      <c r="AF42" s="8">
        <f t="shared" si="3"/>
        <v>45908</v>
      </c>
      <c r="AG42" s="8">
        <f>_xlfn.XLOOKUP(AE42, Dev!$A:$A, Dev!$B:$B, "")</f>
        <v>45818.8905787037</v>
      </c>
      <c r="AH42" s="11">
        <f t="shared" si="4"/>
        <v>89.109421296299843</v>
      </c>
    </row>
    <row r="43" spans="1:34" x14ac:dyDescent="0.3">
      <c r="A43" s="1">
        <v>41</v>
      </c>
      <c r="B43" t="s">
        <v>135</v>
      </c>
      <c r="C43">
        <v>829650</v>
      </c>
      <c r="D43">
        <v>568650</v>
      </c>
      <c r="E43" s="2">
        <v>45899</v>
      </c>
      <c r="F43" s="2">
        <v>45899</v>
      </c>
      <c r="G43" t="s">
        <v>38</v>
      </c>
      <c r="H43" t="s">
        <v>136</v>
      </c>
      <c r="I43" t="s">
        <v>26</v>
      </c>
      <c r="J43" s="3">
        <v>45906.898611111108</v>
      </c>
      <c r="K43">
        <f t="shared" si="5"/>
        <v>9</v>
      </c>
      <c r="L43">
        <v>2025</v>
      </c>
      <c r="M43">
        <v>2025</v>
      </c>
      <c r="N43">
        <v>2025</v>
      </c>
      <c r="O43">
        <v>2025</v>
      </c>
      <c r="P43" t="s">
        <v>27</v>
      </c>
      <c r="Q43" t="s">
        <v>28</v>
      </c>
      <c r="R43" s="2">
        <v>45566</v>
      </c>
      <c r="S43">
        <v>1</v>
      </c>
      <c r="T43" t="s">
        <v>29</v>
      </c>
      <c r="U43" t="s">
        <v>40</v>
      </c>
      <c r="V43" t="s">
        <v>31</v>
      </c>
      <c r="W43" t="s">
        <v>136</v>
      </c>
      <c r="X43" t="s">
        <v>32</v>
      </c>
      <c r="Y43" t="s">
        <v>33</v>
      </c>
      <c r="Z43" t="str">
        <f t="shared" si="6"/>
        <v>0-6</v>
      </c>
      <c r="AA43" t="s">
        <v>561</v>
      </c>
      <c r="AB43">
        <v>27</v>
      </c>
      <c r="AC43" t="str" cm="1">
        <f t="array" ref="AC43">_xlfn.SWITCH(AB43,
79,"Thành phố Hồ Chí Minh",
1,"Thành phố Hà Nội",
35,"Tỉnh Hà Nam",
31,"Thành phố Hải Phòng",
27,"Tỉnh Bắc Ninh",
77,"Tỉnh Bà Rịa - Vũng Tàu",
48,"Thành phố Đà Nẵng",
75,"Tỉnh Đồng Nai",
38,"Tỉnh Thanh Hoá",
82,"Tỉnh Tiền Giang",
74,"Tỉnh Bình Dương",
49,"Tỉnh Quảng Nam",
51,"Tỉnh Quảng Ngãi",
52,"Tỉnh Bình Định",
40,"Tỉnh Nghệ An",
"Không xác định"
)</f>
        <v>Tỉnh Bắc Ninh</v>
      </c>
      <c r="AD43" t="str">
        <f t="shared" si="2"/>
        <v>68.54%</v>
      </c>
      <c r="AE43" t="s">
        <v>642</v>
      </c>
      <c r="AF43" s="8">
        <f t="shared" si="3"/>
        <v>45906</v>
      </c>
      <c r="AG43" s="8">
        <f>_xlfn.XLOOKUP(AE43, Dev!$A:$A, Dev!$B:$B, "")</f>
        <v>45609.791180555556</v>
      </c>
      <c r="AH43" s="11">
        <f t="shared" si="4"/>
        <v>296.20881944444409</v>
      </c>
    </row>
    <row r="44" spans="1:34" x14ac:dyDescent="0.3">
      <c r="A44" s="1">
        <v>42</v>
      </c>
      <c r="B44" t="s">
        <v>137</v>
      </c>
      <c r="C44">
        <v>1177288</v>
      </c>
      <c r="D44">
        <v>1051310</v>
      </c>
      <c r="E44" s="2">
        <v>45885</v>
      </c>
      <c r="F44" s="2">
        <v>45885</v>
      </c>
      <c r="G44" t="s">
        <v>45</v>
      </c>
      <c r="H44" t="s">
        <v>138</v>
      </c>
      <c r="I44" t="s">
        <v>26</v>
      </c>
      <c r="J44" s="3">
        <v>45906.793749999997</v>
      </c>
      <c r="K44">
        <f t="shared" si="5"/>
        <v>9</v>
      </c>
      <c r="L44">
        <v>2025</v>
      </c>
      <c r="M44">
        <v>2025</v>
      </c>
      <c r="N44">
        <v>2025</v>
      </c>
      <c r="O44">
        <v>2025</v>
      </c>
      <c r="P44" t="s">
        <v>27</v>
      </c>
      <c r="Q44" t="s">
        <v>28</v>
      </c>
      <c r="R44" s="2">
        <v>45187</v>
      </c>
      <c r="S44">
        <v>2</v>
      </c>
      <c r="T44" t="s">
        <v>29</v>
      </c>
      <c r="U44" t="s">
        <v>40</v>
      </c>
      <c r="V44" t="s">
        <v>31</v>
      </c>
      <c r="W44" t="s">
        <v>458</v>
      </c>
      <c r="X44" t="s">
        <v>41</v>
      </c>
      <c r="Y44" t="s">
        <v>33</v>
      </c>
      <c r="Z44" t="str">
        <f t="shared" si="6"/>
        <v>0-6</v>
      </c>
      <c r="AA44" t="s">
        <v>562</v>
      </c>
      <c r="AB44">
        <v>1</v>
      </c>
      <c r="AC44" t="str" cm="1">
        <f t="array" ref="AC44">_xlfn.SWITCH(AB44,
79,"Thành phố Hồ Chí Minh",
1,"Thành phố Hà Nội",
35,"Tỉnh Hà Nam",
31,"Thành phố Hải Phòng",
27,"Tỉnh Bắc Ninh",
77,"Tỉnh Bà Rịa - Vũng Tàu",
48,"Thành phố Đà Nẵng",
75,"Tỉnh Đồng Nai",
38,"Tỉnh Thanh Hoá",
82,"Tỉnh Tiền Giang",
74,"Tỉnh Bình Dương",
49,"Tỉnh Quảng Nam",
51,"Tỉnh Quảng Ngãi",
52,"Tỉnh Bình Định",
40,"Tỉnh Nghệ An",
"Không xác định"
)</f>
        <v>Thành phố Hà Nội</v>
      </c>
      <c r="AD44" t="str">
        <f t="shared" si="2"/>
        <v>89.3%</v>
      </c>
      <c r="AE44" t="s">
        <v>643</v>
      </c>
      <c r="AF44" s="8">
        <f t="shared" si="3"/>
        <v>45906</v>
      </c>
      <c r="AG44" s="8">
        <f>_xlfn.XLOOKUP(AE44, Dev!$A:$A, Dev!$B:$B, "")</f>
        <v>45612</v>
      </c>
      <c r="AH44" s="11">
        <f t="shared" si="4"/>
        <v>294</v>
      </c>
    </row>
    <row r="45" spans="1:34" x14ac:dyDescent="0.3">
      <c r="A45" s="1">
        <v>43</v>
      </c>
      <c r="B45" t="s">
        <v>139</v>
      </c>
      <c r="C45">
        <v>1294440</v>
      </c>
      <c r="D45">
        <v>1200000</v>
      </c>
      <c r="E45" s="2">
        <v>45900</v>
      </c>
      <c r="F45" s="2">
        <v>45900</v>
      </c>
      <c r="G45" t="s">
        <v>45</v>
      </c>
      <c r="H45" t="s">
        <v>140</v>
      </c>
      <c r="I45" t="s">
        <v>26</v>
      </c>
      <c r="J45" s="3">
        <v>45906.779861111114</v>
      </c>
      <c r="K45">
        <f t="shared" si="5"/>
        <v>9</v>
      </c>
      <c r="L45">
        <v>2025</v>
      </c>
      <c r="M45">
        <v>2025</v>
      </c>
      <c r="N45">
        <v>2025</v>
      </c>
      <c r="O45">
        <v>2025</v>
      </c>
      <c r="P45" t="s">
        <v>27</v>
      </c>
      <c r="Q45" t="s">
        <v>28</v>
      </c>
      <c r="R45" s="2">
        <v>45187</v>
      </c>
      <c r="S45">
        <v>2</v>
      </c>
      <c r="T45" t="s">
        <v>29</v>
      </c>
      <c r="U45" t="s">
        <v>30</v>
      </c>
      <c r="V45" t="s">
        <v>31</v>
      </c>
      <c r="W45" t="s">
        <v>459</v>
      </c>
      <c r="X45" t="s">
        <v>41</v>
      </c>
      <c r="Y45" t="s">
        <v>33</v>
      </c>
      <c r="Z45" t="str">
        <f t="shared" si="6"/>
        <v>0-6</v>
      </c>
      <c r="AA45" t="s">
        <v>563</v>
      </c>
      <c r="AB45">
        <v>1</v>
      </c>
      <c r="AC45" t="str" cm="1">
        <f t="array" ref="AC45">_xlfn.SWITCH(AB45,
79,"Thành phố Hồ Chí Minh",
1,"Thành phố Hà Nội",
35,"Tỉnh Hà Nam",
31,"Thành phố Hải Phòng",
27,"Tỉnh Bắc Ninh",
77,"Tỉnh Bà Rịa - Vũng Tàu",
48,"Thành phố Đà Nẵng",
75,"Tỉnh Đồng Nai",
38,"Tỉnh Thanh Hoá",
82,"Tỉnh Tiền Giang",
74,"Tỉnh Bình Dương",
49,"Tỉnh Quảng Nam",
51,"Tỉnh Quảng Ngãi",
52,"Tỉnh Bình Định",
40,"Tỉnh Nghệ An",
"Không xác định"
)</f>
        <v>Thành phố Hà Nội</v>
      </c>
      <c r="AD45" t="str">
        <f t="shared" si="2"/>
        <v>92.7%</v>
      </c>
      <c r="AE45" t="s">
        <v>644</v>
      </c>
      <c r="AF45" s="8">
        <f t="shared" si="3"/>
        <v>45906</v>
      </c>
      <c r="AG45" s="8">
        <f>_xlfn.XLOOKUP(AE45, Dev!$A:$A, Dev!$B:$B, "")</f>
        <v>45612</v>
      </c>
      <c r="AH45" s="11">
        <f t="shared" si="4"/>
        <v>294</v>
      </c>
    </row>
    <row r="46" spans="1:34" x14ac:dyDescent="0.3">
      <c r="A46" s="1">
        <v>44</v>
      </c>
      <c r="B46" t="s">
        <v>141</v>
      </c>
      <c r="C46">
        <v>1062711</v>
      </c>
      <c r="D46">
        <v>740711</v>
      </c>
      <c r="E46" s="2">
        <v>45906</v>
      </c>
      <c r="G46" t="s">
        <v>105</v>
      </c>
      <c r="H46" t="s">
        <v>142</v>
      </c>
      <c r="I46" t="s">
        <v>26</v>
      </c>
      <c r="J46" s="3">
        <v>45906.759722222225</v>
      </c>
      <c r="K46">
        <f t="shared" si="5"/>
        <v>9</v>
      </c>
      <c r="L46">
        <v>2025</v>
      </c>
      <c r="M46">
        <v>2025</v>
      </c>
      <c r="N46">
        <v>2025</v>
      </c>
      <c r="O46">
        <v>2025</v>
      </c>
      <c r="P46" t="s">
        <v>27</v>
      </c>
      <c r="Q46" t="s">
        <v>28</v>
      </c>
      <c r="R46" s="2">
        <v>45650</v>
      </c>
      <c r="S46">
        <v>0</v>
      </c>
      <c r="T46" t="s">
        <v>29</v>
      </c>
      <c r="U46" t="s">
        <v>30</v>
      </c>
      <c r="V46" t="s">
        <v>31</v>
      </c>
      <c r="W46" t="s">
        <v>142</v>
      </c>
      <c r="X46" t="s">
        <v>32</v>
      </c>
      <c r="Y46" t="s">
        <v>33</v>
      </c>
      <c r="Z46" t="str">
        <f t="shared" si="6"/>
        <v>0-6</v>
      </c>
      <c r="AA46" t="s">
        <v>555</v>
      </c>
      <c r="AB46">
        <v>48</v>
      </c>
      <c r="AC46" t="str" cm="1">
        <f t="array" ref="AC46">_xlfn.SWITCH(AB46,
79,"Thành phố Hồ Chí Minh",
1,"Thành phố Hà Nội",
35,"Tỉnh Hà Nam",
31,"Thành phố Hải Phòng",
27,"Tỉnh Bắc Ninh",
77,"Tỉnh Bà Rịa - Vũng Tàu",
48,"Thành phố Đà Nẵng",
75,"Tỉnh Đồng Nai",
38,"Tỉnh Thanh Hoá",
82,"Tỉnh Tiền Giang",
74,"Tỉnh Bình Dương",
49,"Tỉnh Quảng Nam",
51,"Tỉnh Quảng Ngãi",
52,"Tỉnh Bình Định",
40,"Tỉnh Nghệ An",
"Không xác định"
)</f>
        <v>Thành phố Đà Nẵng</v>
      </c>
      <c r="AD46" t="str">
        <f t="shared" si="2"/>
        <v>69.7%</v>
      </c>
      <c r="AE46" t="s">
        <v>636</v>
      </c>
      <c r="AF46" s="8">
        <f t="shared" si="3"/>
        <v>45906</v>
      </c>
      <c r="AG46" s="8">
        <f>_xlfn.XLOOKUP(AE46, Dev!$A:$A, Dev!$B:$B, "")</f>
        <v>45718.405949074076</v>
      </c>
      <c r="AH46" s="11">
        <f t="shared" si="4"/>
        <v>187.59405092592351</v>
      </c>
    </row>
    <row r="47" spans="1:34" x14ac:dyDescent="0.3">
      <c r="A47" s="1">
        <v>45</v>
      </c>
      <c r="B47" t="s">
        <v>143</v>
      </c>
      <c r="C47">
        <v>447</v>
      </c>
      <c r="D47">
        <v>357993</v>
      </c>
      <c r="E47" s="2">
        <v>45906</v>
      </c>
      <c r="G47" t="s">
        <v>24</v>
      </c>
      <c r="H47" t="s">
        <v>99</v>
      </c>
      <c r="I47" t="s">
        <v>26</v>
      </c>
      <c r="J47" s="3">
        <v>45906.568749999999</v>
      </c>
      <c r="K47">
        <f t="shared" si="5"/>
        <v>9</v>
      </c>
      <c r="L47">
        <v>2025</v>
      </c>
      <c r="M47">
        <v>2025</v>
      </c>
      <c r="N47">
        <v>2025</v>
      </c>
      <c r="O47">
        <v>2025</v>
      </c>
      <c r="P47" t="s">
        <v>27</v>
      </c>
      <c r="Q47" t="s">
        <v>28</v>
      </c>
      <c r="R47" s="2">
        <v>44634</v>
      </c>
      <c r="S47">
        <v>3</v>
      </c>
      <c r="T47" t="s">
        <v>29</v>
      </c>
      <c r="U47" t="s">
        <v>30</v>
      </c>
      <c r="V47" t="s">
        <v>31</v>
      </c>
      <c r="W47" t="s">
        <v>99</v>
      </c>
      <c r="X47" t="s">
        <v>32</v>
      </c>
      <c r="Y47" t="s">
        <v>33</v>
      </c>
      <c r="Z47" t="str">
        <f t="shared" si="6"/>
        <v>0-6</v>
      </c>
      <c r="AA47" t="s">
        <v>554</v>
      </c>
      <c r="AB47">
        <v>79</v>
      </c>
      <c r="AC47" t="str" cm="1">
        <f t="array" ref="AC47">_xlfn.SWITCH(AB47,
79,"Thành phố Hồ Chí Minh",
1,"Thành phố Hà Nội",
35,"Tỉnh Hà Nam",
31,"Thành phố Hải Phòng",
27,"Tỉnh Bắc Ninh",
77,"Tỉnh Bà Rịa - Vũng Tàu",
48,"Thành phố Đà Nẵng",
75,"Tỉnh Đồng Nai",
38,"Tỉnh Thanh Hoá",
82,"Tỉnh Tiền Giang",
74,"Tỉnh Bình Dương",
49,"Tỉnh Quảng Nam",
51,"Tỉnh Quảng Ngãi",
52,"Tỉnh Bình Định",
40,"Tỉnh Nghệ An",
"Không xác định"
)</f>
        <v>Thành phố Hồ Chí Minh</v>
      </c>
      <c r="AD47" t="str">
        <f t="shared" si="2"/>
        <v>80087.92%</v>
      </c>
      <c r="AE47" t="s">
        <v>635</v>
      </c>
      <c r="AF47" s="8">
        <f t="shared" si="3"/>
        <v>45906</v>
      </c>
      <c r="AG47" s="8">
        <f>_xlfn.XLOOKUP(AE47, Dev!$A:$A, Dev!$B:$B, "")</f>
        <v>45749.551354166666</v>
      </c>
      <c r="AH47" s="11">
        <f t="shared" si="4"/>
        <v>156.44864583333401</v>
      </c>
    </row>
    <row r="48" spans="1:34" x14ac:dyDescent="0.3">
      <c r="A48" s="1">
        <v>46</v>
      </c>
      <c r="B48" t="s">
        <v>144</v>
      </c>
      <c r="C48">
        <v>6016820</v>
      </c>
      <c r="D48">
        <v>1224889</v>
      </c>
      <c r="E48" s="2">
        <v>45891</v>
      </c>
      <c r="F48" s="2">
        <v>45896</v>
      </c>
      <c r="G48" t="s">
        <v>145</v>
      </c>
      <c r="H48" t="s">
        <v>146</v>
      </c>
      <c r="I48" t="s">
        <v>26</v>
      </c>
      <c r="J48" s="3">
        <v>45906.456944444442</v>
      </c>
      <c r="K48">
        <f t="shared" si="5"/>
        <v>9</v>
      </c>
      <c r="L48">
        <v>2025</v>
      </c>
      <c r="M48">
        <v>2025</v>
      </c>
      <c r="N48">
        <v>2025</v>
      </c>
      <c r="O48">
        <v>2025</v>
      </c>
      <c r="P48" t="s">
        <v>27</v>
      </c>
      <c r="Q48" t="s">
        <v>28</v>
      </c>
      <c r="R48" s="2">
        <v>32958</v>
      </c>
      <c r="S48">
        <v>35</v>
      </c>
      <c r="T48" t="s">
        <v>147</v>
      </c>
      <c r="U48" t="s">
        <v>30</v>
      </c>
      <c r="V48" t="s">
        <v>70</v>
      </c>
      <c r="W48" t="s">
        <v>460</v>
      </c>
      <c r="X48" t="s">
        <v>148</v>
      </c>
      <c r="Y48" t="s">
        <v>149</v>
      </c>
      <c r="Z48" t="str">
        <f t="shared" si="6"/>
        <v>18-35</v>
      </c>
      <c r="AA48" t="s">
        <v>564</v>
      </c>
      <c r="AB48">
        <v>1</v>
      </c>
      <c r="AC48" t="str" cm="1">
        <f t="array" ref="AC48">_xlfn.SWITCH(AB48,
79,"Thành phố Hồ Chí Minh",
1,"Thành phố Hà Nội",
35,"Tỉnh Hà Nam",
31,"Thành phố Hải Phòng",
27,"Tỉnh Bắc Ninh",
77,"Tỉnh Bà Rịa - Vũng Tàu",
48,"Thành phố Đà Nẵng",
75,"Tỉnh Đồng Nai",
38,"Tỉnh Thanh Hoá",
82,"Tỉnh Tiền Giang",
74,"Tỉnh Bình Dương",
49,"Tỉnh Quảng Nam",
51,"Tỉnh Quảng Ngãi",
52,"Tỉnh Bình Định",
40,"Tỉnh Nghệ An",
"Không xác định"
)</f>
        <v>Thành phố Hà Nội</v>
      </c>
      <c r="AD48" t="str">
        <f t="shared" si="2"/>
        <v>20.36%</v>
      </c>
      <c r="AE48" t="s">
        <v>645</v>
      </c>
      <c r="AF48" s="8">
        <f t="shared" si="3"/>
        <v>45906</v>
      </c>
      <c r="AG48" s="8">
        <f>_xlfn.XLOOKUP(AE48, Dev!$A:$A, Dev!$B:$B, "")</f>
        <v>45848.388784722221</v>
      </c>
      <c r="AH48" s="11">
        <f t="shared" si="4"/>
        <v>57.611215277778683</v>
      </c>
    </row>
    <row r="49" spans="1:34" x14ac:dyDescent="0.3">
      <c r="A49" s="1">
        <v>47</v>
      </c>
      <c r="B49" t="s">
        <v>150</v>
      </c>
      <c r="C49">
        <v>482700</v>
      </c>
      <c r="D49">
        <v>19434</v>
      </c>
      <c r="E49" s="2">
        <v>45904</v>
      </c>
      <c r="F49" s="2">
        <v>45904</v>
      </c>
      <c r="G49" t="s">
        <v>92</v>
      </c>
      <c r="H49" t="s">
        <v>151</v>
      </c>
      <c r="I49" t="s">
        <v>26</v>
      </c>
      <c r="J49" s="3">
        <v>45905.959027777775</v>
      </c>
      <c r="K49">
        <f t="shared" si="5"/>
        <v>9</v>
      </c>
      <c r="L49">
        <v>2025</v>
      </c>
      <c r="M49">
        <v>2025</v>
      </c>
      <c r="N49">
        <v>2025</v>
      </c>
      <c r="O49">
        <v>2025</v>
      </c>
      <c r="P49" t="s">
        <v>27</v>
      </c>
      <c r="Q49" t="s">
        <v>28</v>
      </c>
      <c r="R49" s="2">
        <v>45609</v>
      </c>
      <c r="S49">
        <v>0</v>
      </c>
      <c r="T49" t="s">
        <v>29</v>
      </c>
      <c r="U49" t="s">
        <v>40</v>
      </c>
      <c r="V49" t="s">
        <v>31</v>
      </c>
      <c r="W49" t="s">
        <v>461</v>
      </c>
      <c r="X49" t="s">
        <v>77</v>
      </c>
      <c r="Y49" t="s">
        <v>33</v>
      </c>
      <c r="Z49" t="str">
        <f t="shared" si="6"/>
        <v>0-6</v>
      </c>
      <c r="AA49" t="s">
        <v>565</v>
      </c>
      <c r="AB49">
        <v>75</v>
      </c>
      <c r="AC49" t="str" cm="1">
        <f t="array" ref="AC49">_xlfn.SWITCH(AB49,
79,"Thành phố Hồ Chí Minh",
1,"Thành phố Hà Nội",
35,"Tỉnh Hà Nam",
31,"Thành phố Hải Phòng",
27,"Tỉnh Bắc Ninh",
77,"Tỉnh Bà Rịa - Vũng Tàu",
48,"Thành phố Đà Nẵng",
75,"Tỉnh Đồng Nai",
38,"Tỉnh Thanh Hoá",
82,"Tỉnh Tiền Giang",
74,"Tỉnh Bình Dương",
49,"Tỉnh Quảng Nam",
51,"Tỉnh Quảng Ngãi",
52,"Tỉnh Bình Định",
40,"Tỉnh Nghệ An",
"Không xác định"
)</f>
        <v>Tỉnh Đồng Nai</v>
      </c>
      <c r="AD49" t="str">
        <f t="shared" si="2"/>
        <v>4.03%</v>
      </c>
      <c r="AE49" t="s">
        <v>646</v>
      </c>
      <c r="AF49" s="8">
        <f t="shared" si="3"/>
        <v>45905</v>
      </c>
      <c r="AG49" s="8">
        <f>_xlfn.XLOOKUP(AE49, Dev!$A:$A, Dev!$B:$B, "")</f>
        <v>45729.416770833333</v>
      </c>
      <c r="AH49" s="11">
        <f t="shared" si="4"/>
        <v>175.58322916666657</v>
      </c>
    </row>
    <row r="50" spans="1:34" x14ac:dyDescent="0.3">
      <c r="A50" s="1">
        <v>48</v>
      </c>
      <c r="B50" t="s">
        <v>152</v>
      </c>
      <c r="C50">
        <v>374170</v>
      </c>
      <c r="D50">
        <v>299336</v>
      </c>
      <c r="E50" s="2">
        <v>45900</v>
      </c>
      <c r="F50" s="2">
        <v>45900</v>
      </c>
      <c r="G50" t="s">
        <v>153</v>
      </c>
      <c r="H50" t="s">
        <v>154</v>
      </c>
      <c r="I50" t="s">
        <v>26</v>
      </c>
      <c r="J50" s="3">
        <v>45905.810416666667</v>
      </c>
      <c r="K50">
        <f t="shared" si="5"/>
        <v>9</v>
      </c>
      <c r="L50">
        <v>2025</v>
      </c>
      <c r="M50">
        <v>2025</v>
      </c>
      <c r="N50">
        <v>2025</v>
      </c>
      <c r="O50">
        <v>2025</v>
      </c>
      <c r="P50" t="s">
        <v>27</v>
      </c>
      <c r="Q50" t="s">
        <v>28</v>
      </c>
      <c r="R50" s="2">
        <v>44833</v>
      </c>
      <c r="S50">
        <v>3</v>
      </c>
      <c r="T50" t="s">
        <v>29</v>
      </c>
      <c r="U50" t="s">
        <v>40</v>
      </c>
      <c r="V50" t="s">
        <v>31</v>
      </c>
      <c r="W50" t="s">
        <v>154</v>
      </c>
      <c r="X50" t="s">
        <v>41</v>
      </c>
      <c r="Y50" t="s">
        <v>33</v>
      </c>
      <c r="Z50" t="str">
        <f t="shared" si="6"/>
        <v>0-6</v>
      </c>
      <c r="AA50" t="s">
        <v>566</v>
      </c>
      <c r="AB50">
        <v>79</v>
      </c>
      <c r="AC50" t="str" cm="1">
        <f t="array" ref="AC50">_xlfn.SWITCH(AB50,
79,"Thành phố Hồ Chí Minh",
1,"Thành phố Hà Nội",
35,"Tỉnh Hà Nam",
31,"Thành phố Hải Phòng",
27,"Tỉnh Bắc Ninh",
77,"Tỉnh Bà Rịa - Vũng Tàu",
48,"Thành phố Đà Nẵng",
75,"Tỉnh Đồng Nai",
38,"Tỉnh Thanh Hoá",
82,"Tỉnh Tiền Giang",
74,"Tỉnh Bình Dương",
49,"Tỉnh Quảng Nam",
51,"Tỉnh Quảng Ngãi",
52,"Tỉnh Bình Định",
40,"Tỉnh Nghệ An",
"Không xác định"
)</f>
        <v>Thành phố Hồ Chí Minh</v>
      </c>
      <c r="AD50" t="str">
        <f t="shared" si="2"/>
        <v>80%</v>
      </c>
      <c r="AE50" t="s">
        <v>647</v>
      </c>
      <c r="AF50" s="8">
        <f t="shared" si="3"/>
        <v>45905</v>
      </c>
      <c r="AG50" s="8">
        <f>_xlfn.XLOOKUP(AE50, Dev!$A:$A, Dev!$B:$B, "")</f>
        <v>45649</v>
      </c>
      <c r="AH50" s="11">
        <f t="shared" si="4"/>
        <v>256</v>
      </c>
    </row>
    <row r="51" spans="1:34" x14ac:dyDescent="0.3">
      <c r="A51" s="1">
        <v>49</v>
      </c>
      <c r="B51" t="s">
        <v>155</v>
      </c>
      <c r="C51">
        <v>2029513</v>
      </c>
      <c r="D51">
        <v>640000</v>
      </c>
      <c r="E51" s="2">
        <v>45897</v>
      </c>
      <c r="F51" s="2">
        <v>45897</v>
      </c>
      <c r="G51" t="s">
        <v>153</v>
      </c>
      <c r="H51" t="s">
        <v>156</v>
      </c>
      <c r="I51" t="s">
        <v>26</v>
      </c>
      <c r="J51" s="3">
        <v>45905.804166666669</v>
      </c>
      <c r="K51">
        <f t="shared" si="5"/>
        <v>9</v>
      </c>
      <c r="L51">
        <v>2025</v>
      </c>
      <c r="M51">
        <v>2025</v>
      </c>
      <c r="N51">
        <v>2025</v>
      </c>
      <c r="O51">
        <v>2025</v>
      </c>
      <c r="P51" t="s">
        <v>27</v>
      </c>
      <c r="Q51" t="s">
        <v>28</v>
      </c>
      <c r="R51" s="2">
        <v>44833</v>
      </c>
      <c r="S51">
        <v>3</v>
      </c>
      <c r="T51" t="s">
        <v>29</v>
      </c>
      <c r="U51" t="s">
        <v>40</v>
      </c>
      <c r="V51" t="s">
        <v>31</v>
      </c>
      <c r="W51" t="s">
        <v>156</v>
      </c>
      <c r="X51" t="s">
        <v>32</v>
      </c>
      <c r="Y51" t="s">
        <v>33</v>
      </c>
      <c r="Z51" t="str">
        <f t="shared" si="6"/>
        <v>0-6</v>
      </c>
      <c r="AA51" t="s">
        <v>566</v>
      </c>
      <c r="AB51">
        <v>79</v>
      </c>
      <c r="AC51" t="str" cm="1">
        <f t="array" ref="AC51">_xlfn.SWITCH(AB51,
79,"Thành phố Hồ Chí Minh",
1,"Thành phố Hà Nội",
35,"Tỉnh Hà Nam",
31,"Thành phố Hải Phòng",
27,"Tỉnh Bắc Ninh",
77,"Tỉnh Bà Rịa - Vũng Tàu",
48,"Thành phố Đà Nẵng",
75,"Tỉnh Đồng Nai",
38,"Tỉnh Thanh Hoá",
82,"Tỉnh Tiền Giang",
74,"Tỉnh Bình Dương",
49,"Tỉnh Quảng Nam",
51,"Tỉnh Quảng Ngãi",
52,"Tỉnh Bình Định",
40,"Tỉnh Nghệ An",
"Không xác định"
)</f>
        <v>Thành phố Hồ Chí Minh</v>
      </c>
      <c r="AD51" t="str">
        <f t="shared" si="2"/>
        <v>31.53%</v>
      </c>
      <c r="AE51" t="s">
        <v>647</v>
      </c>
      <c r="AF51" s="8">
        <f t="shared" si="3"/>
        <v>45905</v>
      </c>
      <c r="AG51" s="8">
        <f>_xlfn.XLOOKUP(AE51, Dev!$A:$A, Dev!$B:$B, "")</f>
        <v>45649</v>
      </c>
      <c r="AH51" s="11">
        <f t="shared" si="4"/>
        <v>256</v>
      </c>
    </row>
    <row r="52" spans="1:34" x14ac:dyDescent="0.3">
      <c r="A52" s="1">
        <v>50</v>
      </c>
      <c r="B52" t="s">
        <v>157</v>
      </c>
      <c r="C52">
        <v>411900</v>
      </c>
      <c r="D52">
        <v>329520</v>
      </c>
      <c r="E52" s="2">
        <v>45893</v>
      </c>
      <c r="F52" s="2">
        <v>45893</v>
      </c>
      <c r="G52" t="s">
        <v>153</v>
      </c>
      <c r="H52" t="s">
        <v>158</v>
      </c>
      <c r="I52" t="s">
        <v>26</v>
      </c>
      <c r="J52" s="3">
        <v>45905.722222222219</v>
      </c>
      <c r="K52">
        <f t="shared" si="5"/>
        <v>9</v>
      </c>
      <c r="L52">
        <v>2025</v>
      </c>
      <c r="M52">
        <v>2025</v>
      </c>
      <c r="N52">
        <v>2025</v>
      </c>
      <c r="O52">
        <v>2025</v>
      </c>
      <c r="P52" t="s">
        <v>27</v>
      </c>
      <c r="Q52" t="s">
        <v>28</v>
      </c>
      <c r="R52" s="2">
        <v>44833</v>
      </c>
      <c r="S52">
        <v>3</v>
      </c>
      <c r="T52" t="s">
        <v>29</v>
      </c>
      <c r="U52" t="s">
        <v>40</v>
      </c>
      <c r="V52" t="s">
        <v>31</v>
      </c>
      <c r="W52" t="s">
        <v>158</v>
      </c>
      <c r="X52" t="s">
        <v>41</v>
      </c>
      <c r="Y52" t="s">
        <v>33</v>
      </c>
      <c r="Z52" t="str">
        <f t="shared" si="6"/>
        <v>0-6</v>
      </c>
      <c r="AA52" t="s">
        <v>566</v>
      </c>
      <c r="AB52">
        <v>79</v>
      </c>
      <c r="AC52" t="str" cm="1">
        <f t="array" ref="AC52">_xlfn.SWITCH(AB52,
79,"Thành phố Hồ Chí Minh",
1,"Thành phố Hà Nội",
35,"Tỉnh Hà Nam",
31,"Thành phố Hải Phòng",
27,"Tỉnh Bắc Ninh",
77,"Tỉnh Bà Rịa - Vũng Tàu",
48,"Thành phố Đà Nẵng",
75,"Tỉnh Đồng Nai",
38,"Tỉnh Thanh Hoá",
82,"Tỉnh Tiền Giang",
74,"Tỉnh Bình Dương",
49,"Tỉnh Quảng Nam",
51,"Tỉnh Quảng Ngãi",
52,"Tỉnh Bình Định",
40,"Tỉnh Nghệ An",
"Không xác định"
)</f>
        <v>Thành phố Hồ Chí Minh</v>
      </c>
      <c r="AD52" t="str">
        <f t="shared" si="2"/>
        <v>80%</v>
      </c>
      <c r="AE52" t="s">
        <v>647</v>
      </c>
      <c r="AF52" s="8">
        <f t="shared" si="3"/>
        <v>45905</v>
      </c>
      <c r="AG52" s="8">
        <f>_xlfn.XLOOKUP(AE52, Dev!$A:$A, Dev!$B:$B, "")</f>
        <v>45649</v>
      </c>
      <c r="AH52" s="11">
        <f t="shared" si="4"/>
        <v>256</v>
      </c>
    </row>
    <row r="53" spans="1:34" x14ac:dyDescent="0.3">
      <c r="A53" s="1">
        <v>51</v>
      </c>
      <c r="B53" t="s">
        <v>159</v>
      </c>
      <c r="C53">
        <v>346440</v>
      </c>
      <c r="D53">
        <v>277152</v>
      </c>
      <c r="E53" s="2">
        <v>45878</v>
      </c>
      <c r="F53" s="2">
        <v>45878</v>
      </c>
      <c r="G53" t="s">
        <v>153</v>
      </c>
      <c r="H53" t="s">
        <v>160</v>
      </c>
      <c r="I53" t="s">
        <v>26</v>
      </c>
      <c r="J53" s="3">
        <v>45905.718055555553</v>
      </c>
      <c r="K53">
        <f t="shared" si="5"/>
        <v>9</v>
      </c>
      <c r="L53">
        <v>2025</v>
      </c>
      <c r="M53">
        <v>2025</v>
      </c>
      <c r="N53">
        <v>2025</v>
      </c>
      <c r="O53">
        <v>2025</v>
      </c>
      <c r="P53" t="s">
        <v>27</v>
      </c>
      <c r="Q53" t="s">
        <v>28</v>
      </c>
      <c r="R53" s="2">
        <v>44833</v>
      </c>
      <c r="S53">
        <v>3</v>
      </c>
      <c r="T53" t="s">
        <v>29</v>
      </c>
      <c r="U53" t="s">
        <v>40</v>
      </c>
      <c r="V53" t="s">
        <v>31</v>
      </c>
      <c r="W53" t="s">
        <v>462</v>
      </c>
      <c r="X53" t="s">
        <v>41</v>
      </c>
      <c r="Y53" t="s">
        <v>33</v>
      </c>
      <c r="Z53" t="str">
        <f t="shared" si="6"/>
        <v>0-6</v>
      </c>
      <c r="AA53" t="s">
        <v>566</v>
      </c>
      <c r="AB53">
        <v>79</v>
      </c>
      <c r="AC53" t="str" cm="1">
        <f t="array" ref="AC53">_xlfn.SWITCH(AB53,
79,"Thành phố Hồ Chí Minh",
1,"Thành phố Hà Nội",
35,"Tỉnh Hà Nam",
31,"Thành phố Hải Phòng",
27,"Tỉnh Bắc Ninh",
77,"Tỉnh Bà Rịa - Vũng Tàu",
48,"Thành phố Đà Nẵng",
75,"Tỉnh Đồng Nai",
38,"Tỉnh Thanh Hoá",
82,"Tỉnh Tiền Giang",
74,"Tỉnh Bình Dương",
49,"Tỉnh Quảng Nam",
51,"Tỉnh Quảng Ngãi",
52,"Tỉnh Bình Định",
40,"Tỉnh Nghệ An",
"Không xác định"
)</f>
        <v>Thành phố Hồ Chí Minh</v>
      </c>
      <c r="AD53" t="str">
        <f t="shared" si="2"/>
        <v>80%</v>
      </c>
      <c r="AE53" t="s">
        <v>647</v>
      </c>
      <c r="AF53" s="8">
        <f t="shared" si="3"/>
        <v>45905</v>
      </c>
      <c r="AG53" s="8">
        <f>_xlfn.XLOOKUP(AE53, Dev!$A:$A, Dev!$B:$B, "")</f>
        <v>45649</v>
      </c>
      <c r="AH53" s="11">
        <f t="shared" si="4"/>
        <v>256</v>
      </c>
    </row>
    <row r="54" spans="1:34" x14ac:dyDescent="0.3">
      <c r="A54" s="1">
        <v>52</v>
      </c>
      <c r="B54" t="s">
        <v>161</v>
      </c>
      <c r="C54">
        <v>912097</v>
      </c>
      <c r="D54">
        <v>650810</v>
      </c>
      <c r="E54" s="2">
        <v>45884</v>
      </c>
      <c r="F54" s="2">
        <v>45884</v>
      </c>
      <c r="G54" t="s">
        <v>38</v>
      </c>
      <c r="H54" t="s">
        <v>162</v>
      </c>
      <c r="I54" t="s">
        <v>26</v>
      </c>
      <c r="J54" s="3">
        <v>45905.599999999999</v>
      </c>
      <c r="K54">
        <f t="shared" si="5"/>
        <v>9</v>
      </c>
      <c r="L54">
        <v>2025</v>
      </c>
      <c r="M54">
        <v>2025</v>
      </c>
      <c r="N54">
        <v>2025</v>
      </c>
      <c r="O54">
        <v>2025</v>
      </c>
      <c r="P54" t="s">
        <v>27</v>
      </c>
      <c r="Q54" t="s">
        <v>28</v>
      </c>
      <c r="R54" s="2">
        <v>45676</v>
      </c>
      <c r="S54">
        <v>0</v>
      </c>
      <c r="T54" t="s">
        <v>29</v>
      </c>
      <c r="U54" t="s">
        <v>30</v>
      </c>
      <c r="V54" t="s">
        <v>31</v>
      </c>
      <c r="W54" t="s">
        <v>162</v>
      </c>
      <c r="X54" t="s">
        <v>32</v>
      </c>
      <c r="Y54" t="s">
        <v>33</v>
      </c>
      <c r="Z54" t="str">
        <f t="shared" si="6"/>
        <v>0-6</v>
      </c>
      <c r="AA54" t="s">
        <v>567</v>
      </c>
      <c r="AB54">
        <v>1</v>
      </c>
      <c r="AC54" t="str" cm="1">
        <f t="array" ref="AC54">_xlfn.SWITCH(AB54,
79,"Thành phố Hồ Chí Minh",
1,"Thành phố Hà Nội",
35,"Tỉnh Hà Nam",
31,"Thành phố Hải Phòng",
27,"Tỉnh Bắc Ninh",
77,"Tỉnh Bà Rịa - Vũng Tàu",
48,"Thành phố Đà Nẵng",
75,"Tỉnh Đồng Nai",
38,"Tỉnh Thanh Hoá",
82,"Tỉnh Tiền Giang",
74,"Tỉnh Bình Dương",
49,"Tỉnh Quảng Nam",
51,"Tỉnh Quảng Ngãi",
52,"Tỉnh Bình Định",
40,"Tỉnh Nghệ An",
"Không xác định"
)</f>
        <v>Thành phố Hà Nội</v>
      </c>
      <c r="AD54" t="str">
        <f t="shared" si="2"/>
        <v>71.35%</v>
      </c>
      <c r="AE54" t="s">
        <v>648</v>
      </c>
      <c r="AF54" s="8">
        <f t="shared" si="3"/>
        <v>45905</v>
      </c>
      <c r="AG54" s="8">
        <f>_xlfn.XLOOKUP(AE54, Dev!$A:$A, Dev!$B:$B, "")</f>
        <v>45763.86923611111</v>
      </c>
      <c r="AH54" s="11">
        <f t="shared" si="4"/>
        <v>141.13076388889021</v>
      </c>
    </row>
    <row r="55" spans="1:34" x14ac:dyDescent="0.3">
      <c r="A55" s="1">
        <v>53</v>
      </c>
      <c r="B55" t="s">
        <v>163</v>
      </c>
      <c r="C55">
        <v>77300</v>
      </c>
      <c r="D55">
        <v>45000</v>
      </c>
      <c r="E55" s="2">
        <v>45880</v>
      </c>
      <c r="F55" s="2">
        <v>45880</v>
      </c>
      <c r="G55" t="s">
        <v>164</v>
      </c>
      <c r="H55" t="s">
        <v>165</v>
      </c>
      <c r="I55" t="s">
        <v>26</v>
      </c>
      <c r="J55" s="3">
        <v>45905.527777777781</v>
      </c>
      <c r="K55">
        <f t="shared" si="5"/>
        <v>9</v>
      </c>
      <c r="L55">
        <v>2025</v>
      </c>
      <c r="M55">
        <v>2025</v>
      </c>
      <c r="N55">
        <v>2025</v>
      </c>
      <c r="O55">
        <v>2025</v>
      </c>
      <c r="P55" t="s">
        <v>27</v>
      </c>
      <c r="Q55" t="s">
        <v>28</v>
      </c>
      <c r="R55" s="2">
        <v>45090</v>
      </c>
      <c r="S55">
        <v>2</v>
      </c>
      <c r="T55" t="s">
        <v>29</v>
      </c>
      <c r="U55" t="s">
        <v>30</v>
      </c>
      <c r="V55" t="s">
        <v>31</v>
      </c>
      <c r="W55" t="s">
        <v>463</v>
      </c>
      <c r="X55" t="s">
        <v>41</v>
      </c>
      <c r="Y55" t="s">
        <v>33</v>
      </c>
      <c r="Z55" t="str">
        <f t="shared" si="6"/>
        <v>0-6</v>
      </c>
      <c r="AA55" t="s">
        <v>568</v>
      </c>
      <c r="AB55">
        <v>79</v>
      </c>
      <c r="AC55" t="str" cm="1">
        <f t="array" ref="AC55">_xlfn.SWITCH(AB55,
79,"Thành phố Hồ Chí Minh",
1,"Thành phố Hà Nội",
35,"Tỉnh Hà Nam",
31,"Thành phố Hải Phòng",
27,"Tỉnh Bắc Ninh",
77,"Tỉnh Bà Rịa - Vũng Tàu",
48,"Thành phố Đà Nẵng",
75,"Tỉnh Đồng Nai",
38,"Tỉnh Thanh Hoá",
82,"Tỉnh Tiền Giang",
74,"Tỉnh Bình Dương",
49,"Tỉnh Quảng Nam",
51,"Tỉnh Quảng Ngãi",
52,"Tỉnh Bình Định",
40,"Tỉnh Nghệ An",
"Không xác định"
)</f>
        <v>Thành phố Hồ Chí Minh</v>
      </c>
      <c r="AD55" t="str">
        <f t="shared" si="2"/>
        <v>58.21%</v>
      </c>
      <c r="AE55" t="s">
        <v>649</v>
      </c>
      <c r="AF55" s="8">
        <f t="shared" si="3"/>
        <v>45905</v>
      </c>
      <c r="AG55" s="8">
        <f>_xlfn.XLOOKUP(AE55, Dev!$A:$A, Dev!$B:$B, "")</f>
        <v>45576.580300925925</v>
      </c>
      <c r="AH55" s="11">
        <f t="shared" si="4"/>
        <v>328.41969907407474</v>
      </c>
    </row>
    <row r="56" spans="1:34" x14ac:dyDescent="0.3">
      <c r="A56" s="1">
        <v>54</v>
      </c>
      <c r="B56" t="s">
        <v>166</v>
      </c>
      <c r="C56">
        <v>439990</v>
      </c>
      <c r="D56">
        <v>345939</v>
      </c>
      <c r="E56" s="2">
        <v>45879</v>
      </c>
      <c r="F56" s="2">
        <v>45879</v>
      </c>
      <c r="G56" t="s">
        <v>164</v>
      </c>
      <c r="H56" t="s">
        <v>165</v>
      </c>
      <c r="I56" t="s">
        <v>26</v>
      </c>
      <c r="J56" s="3">
        <v>45905.525000000001</v>
      </c>
      <c r="K56">
        <f t="shared" si="5"/>
        <v>9</v>
      </c>
      <c r="L56">
        <v>2025</v>
      </c>
      <c r="M56">
        <v>2025</v>
      </c>
      <c r="N56">
        <v>2025</v>
      </c>
      <c r="O56">
        <v>2025</v>
      </c>
      <c r="P56" t="s">
        <v>27</v>
      </c>
      <c r="Q56" t="s">
        <v>28</v>
      </c>
      <c r="R56" s="2">
        <v>45090</v>
      </c>
      <c r="S56">
        <v>2</v>
      </c>
      <c r="T56" t="s">
        <v>29</v>
      </c>
      <c r="U56" t="s">
        <v>30</v>
      </c>
      <c r="V56" t="s">
        <v>31</v>
      </c>
      <c r="W56" t="s">
        <v>463</v>
      </c>
      <c r="X56" t="s">
        <v>41</v>
      </c>
      <c r="Y56" t="s">
        <v>33</v>
      </c>
      <c r="Z56" t="str">
        <f t="shared" si="6"/>
        <v>0-6</v>
      </c>
      <c r="AA56" t="s">
        <v>568</v>
      </c>
      <c r="AB56">
        <v>79</v>
      </c>
      <c r="AC56" t="str" cm="1">
        <f t="array" ref="AC56">_xlfn.SWITCH(AB56,
79,"Thành phố Hồ Chí Minh",
1,"Thành phố Hà Nội",
35,"Tỉnh Hà Nam",
31,"Thành phố Hải Phòng",
27,"Tỉnh Bắc Ninh",
77,"Tỉnh Bà Rịa - Vũng Tàu",
48,"Thành phố Đà Nẵng",
75,"Tỉnh Đồng Nai",
38,"Tỉnh Thanh Hoá",
82,"Tỉnh Tiền Giang",
74,"Tỉnh Bình Dương",
49,"Tỉnh Quảng Nam",
51,"Tỉnh Quảng Ngãi",
52,"Tỉnh Bình Định",
40,"Tỉnh Nghệ An",
"Không xác định"
)</f>
        <v>Thành phố Hồ Chí Minh</v>
      </c>
      <c r="AD56" t="str">
        <f t="shared" si="2"/>
        <v>78.62%</v>
      </c>
      <c r="AE56" t="s">
        <v>649</v>
      </c>
      <c r="AF56" s="8">
        <f t="shared" si="3"/>
        <v>45905</v>
      </c>
      <c r="AG56" s="8">
        <f>_xlfn.XLOOKUP(AE56, Dev!$A:$A, Dev!$B:$B, "")</f>
        <v>45576.580300925925</v>
      </c>
      <c r="AH56" s="11">
        <f t="shared" si="4"/>
        <v>328.41969907407474</v>
      </c>
    </row>
    <row r="57" spans="1:34" x14ac:dyDescent="0.3">
      <c r="A57" s="1">
        <v>55</v>
      </c>
      <c r="B57" t="s">
        <v>167</v>
      </c>
      <c r="C57">
        <v>5883000</v>
      </c>
      <c r="D57">
        <v>5150021</v>
      </c>
      <c r="E57" s="2">
        <v>45894</v>
      </c>
      <c r="F57" s="2">
        <v>45901</v>
      </c>
      <c r="G57" t="s">
        <v>127</v>
      </c>
      <c r="H57" t="s">
        <v>168</v>
      </c>
      <c r="I57" t="s">
        <v>26</v>
      </c>
      <c r="J57" s="3">
        <v>45905.445833333331</v>
      </c>
      <c r="K57">
        <f t="shared" si="5"/>
        <v>9</v>
      </c>
      <c r="L57">
        <v>2025</v>
      </c>
      <c r="M57">
        <v>2025</v>
      </c>
      <c r="N57">
        <v>2025</v>
      </c>
      <c r="O57">
        <v>2025</v>
      </c>
      <c r="P57" t="s">
        <v>27</v>
      </c>
      <c r="Q57" t="s">
        <v>28</v>
      </c>
      <c r="R57" s="2">
        <v>45632</v>
      </c>
      <c r="S57">
        <v>0</v>
      </c>
      <c r="T57" t="s">
        <v>29</v>
      </c>
      <c r="U57" t="s">
        <v>30</v>
      </c>
      <c r="V57" t="s">
        <v>70</v>
      </c>
      <c r="W57" t="s">
        <v>168</v>
      </c>
      <c r="X57" t="s">
        <v>32</v>
      </c>
      <c r="Y57" t="s">
        <v>33</v>
      </c>
      <c r="Z57" t="str">
        <f t="shared" si="6"/>
        <v>0-6</v>
      </c>
      <c r="AA57" t="s">
        <v>569</v>
      </c>
      <c r="AB57">
        <v>1</v>
      </c>
      <c r="AC57" t="str" cm="1">
        <f t="array" ref="AC57">_xlfn.SWITCH(AB57,
79,"Thành phố Hồ Chí Minh",
1,"Thành phố Hà Nội",
35,"Tỉnh Hà Nam",
31,"Thành phố Hải Phòng",
27,"Tỉnh Bắc Ninh",
77,"Tỉnh Bà Rịa - Vũng Tàu",
48,"Thành phố Đà Nẵng",
75,"Tỉnh Đồng Nai",
38,"Tỉnh Thanh Hoá",
82,"Tỉnh Tiền Giang",
74,"Tỉnh Bình Dương",
49,"Tỉnh Quảng Nam",
51,"Tỉnh Quảng Ngãi",
52,"Tỉnh Bình Định",
40,"Tỉnh Nghệ An",
"Không xác định"
)</f>
        <v>Thành phố Hà Nội</v>
      </c>
      <c r="AD57" t="str">
        <f t="shared" si="2"/>
        <v>87.54%</v>
      </c>
      <c r="AE57" t="s">
        <v>650</v>
      </c>
      <c r="AF57" s="8">
        <f t="shared" si="3"/>
        <v>45905</v>
      </c>
      <c r="AG57" s="8">
        <f>_xlfn.XLOOKUP(AE57, Dev!$A:$A, Dev!$B:$B, "")</f>
        <v>45713.408946759257</v>
      </c>
      <c r="AH57" s="11">
        <f t="shared" si="4"/>
        <v>191.59105324074335</v>
      </c>
    </row>
    <row r="58" spans="1:34" x14ac:dyDescent="0.3">
      <c r="A58" s="1">
        <v>56</v>
      </c>
      <c r="B58" t="s">
        <v>169</v>
      </c>
      <c r="C58">
        <v>506104</v>
      </c>
      <c r="D58">
        <v>449560</v>
      </c>
      <c r="E58" s="2">
        <v>45903</v>
      </c>
      <c r="F58" s="2">
        <v>45903</v>
      </c>
      <c r="G58" t="s">
        <v>66</v>
      </c>
      <c r="H58" t="s">
        <v>170</v>
      </c>
      <c r="I58" t="s">
        <v>26</v>
      </c>
      <c r="J58" s="3">
        <v>45904.919444444444</v>
      </c>
      <c r="K58">
        <f t="shared" si="5"/>
        <v>9</v>
      </c>
      <c r="L58">
        <v>2025</v>
      </c>
      <c r="M58">
        <v>2025</v>
      </c>
      <c r="N58">
        <v>2025</v>
      </c>
      <c r="O58">
        <v>2025</v>
      </c>
      <c r="P58" t="s">
        <v>27</v>
      </c>
      <c r="Q58" t="s">
        <v>28</v>
      </c>
      <c r="R58" s="2">
        <v>45609</v>
      </c>
      <c r="S58">
        <v>0</v>
      </c>
      <c r="T58" t="s">
        <v>29</v>
      </c>
      <c r="U58" t="s">
        <v>40</v>
      </c>
      <c r="V58" t="s">
        <v>31</v>
      </c>
      <c r="W58" t="s">
        <v>464</v>
      </c>
      <c r="X58" t="s">
        <v>36</v>
      </c>
      <c r="Y58" t="s">
        <v>33</v>
      </c>
      <c r="Z58" t="str">
        <f t="shared" si="6"/>
        <v>0-6</v>
      </c>
      <c r="AA58" t="s">
        <v>565</v>
      </c>
      <c r="AB58">
        <v>75</v>
      </c>
      <c r="AC58" t="str" cm="1">
        <f t="array" ref="AC58">_xlfn.SWITCH(AB58,
79,"Thành phố Hồ Chí Minh",
1,"Thành phố Hà Nội",
35,"Tỉnh Hà Nam",
31,"Thành phố Hải Phòng",
27,"Tỉnh Bắc Ninh",
77,"Tỉnh Bà Rịa - Vũng Tàu",
48,"Thành phố Đà Nẵng",
75,"Tỉnh Đồng Nai",
38,"Tỉnh Thanh Hoá",
82,"Tỉnh Tiền Giang",
74,"Tỉnh Bình Dương",
49,"Tỉnh Quảng Nam",
51,"Tỉnh Quảng Ngãi",
52,"Tỉnh Bình Định",
40,"Tỉnh Nghệ An",
"Không xác định"
)</f>
        <v>Tỉnh Đồng Nai</v>
      </c>
      <c r="AD58" t="str">
        <f t="shared" si="2"/>
        <v>88.83%</v>
      </c>
      <c r="AE58" t="s">
        <v>646</v>
      </c>
      <c r="AF58" s="8">
        <f t="shared" si="3"/>
        <v>45904</v>
      </c>
      <c r="AG58" s="8">
        <f>_xlfn.XLOOKUP(AE58, Dev!$A:$A, Dev!$B:$B, "")</f>
        <v>45729.416770833333</v>
      </c>
      <c r="AH58" s="11">
        <f t="shared" si="4"/>
        <v>174.58322916666657</v>
      </c>
    </row>
    <row r="59" spans="1:34" x14ac:dyDescent="0.3">
      <c r="A59" s="1">
        <v>57</v>
      </c>
      <c r="B59" t="s">
        <v>171</v>
      </c>
      <c r="C59">
        <v>400000</v>
      </c>
      <c r="D59">
        <v>320000</v>
      </c>
      <c r="E59" s="2">
        <v>45894</v>
      </c>
      <c r="F59" s="2">
        <v>45894</v>
      </c>
      <c r="G59" t="s">
        <v>92</v>
      </c>
      <c r="H59" t="s">
        <v>172</v>
      </c>
      <c r="I59" t="s">
        <v>26</v>
      </c>
      <c r="J59" s="3">
        <v>45904.915277777778</v>
      </c>
      <c r="K59">
        <f t="shared" si="5"/>
        <v>9</v>
      </c>
      <c r="L59">
        <v>2025</v>
      </c>
      <c r="M59">
        <v>2025</v>
      </c>
      <c r="N59">
        <v>2025</v>
      </c>
      <c r="O59">
        <v>2025</v>
      </c>
      <c r="P59" t="s">
        <v>27</v>
      </c>
      <c r="Q59" t="s">
        <v>28</v>
      </c>
      <c r="R59" s="2">
        <v>45609</v>
      </c>
      <c r="S59">
        <v>0</v>
      </c>
      <c r="T59" t="s">
        <v>29</v>
      </c>
      <c r="U59" t="s">
        <v>40</v>
      </c>
      <c r="V59" t="s">
        <v>31</v>
      </c>
      <c r="W59" t="s">
        <v>465</v>
      </c>
      <c r="X59" t="s">
        <v>41</v>
      </c>
      <c r="Y59" t="s">
        <v>33</v>
      </c>
      <c r="Z59" t="str">
        <f t="shared" si="6"/>
        <v>0-6</v>
      </c>
      <c r="AA59" t="s">
        <v>565</v>
      </c>
      <c r="AB59">
        <v>75</v>
      </c>
      <c r="AC59" t="str" cm="1">
        <f t="array" ref="AC59">_xlfn.SWITCH(AB59,
79,"Thành phố Hồ Chí Minh",
1,"Thành phố Hà Nội",
35,"Tỉnh Hà Nam",
31,"Thành phố Hải Phòng",
27,"Tỉnh Bắc Ninh",
77,"Tỉnh Bà Rịa - Vũng Tàu",
48,"Thành phố Đà Nẵng",
75,"Tỉnh Đồng Nai",
38,"Tỉnh Thanh Hoá",
82,"Tỉnh Tiền Giang",
74,"Tỉnh Bình Dương",
49,"Tỉnh Quảng Nam",
51,"Tỉnh Quảng Ngãi",
52,"Tỉnh Bình Định",
40,"Tỉnh Nghệ An",
"Không xác định"
)</f>
        <v>Tỉnh Đồng Nai</v>
      </c>
      <c r="AD59" t="str">
        <f t="shared" si="2"/>
        <v>80%</v>
      </c>
      <c r="AE59" t="s">
        <v>646</v>
      </c>
      <c r="AF59" s="8">
        <f t="shared" si="3"/>
        <v>45904</v>
      </c>
      <c r="AG59" s="8">
        <f>_xlfn.XLOOKUP(AE59, Dev!$A:$A, Dev!$B:$B, "")</f>
        <v>45729.416770833333</v>
      </c>
      <c r="AH59" s="11">
        <f t="shared" si="4"/>
        <v>174.58322916666657</v>
      </c>
    </row>
    <row r="60" spans="1:34" x14ac:dyDescent="0.3">
      <c r="A60" s="1">
        <v>58</v>
      </c>
      <c r="B60" t="s">
        <v>173</v>
      </c>
      <c r="C60">
        <v>2174400</v>
      </c>
      <c r="D60">
        <v>960000</v>
      </c>
      <c r="E60" s="2">
        <v>45903</v>
      </c>
      <c r="F60" s="2">
        <v>45903</v>
      </c>
      <c r="G60" t="s">
        <v>110</v>
      </c>
      <c r="H60" t="s">
        <v>174</v>
      </c>
      <c r="I60" t="s">
        <v>26</v>
      </c>
      <c r="J60" s="3">
        <v>45904.515277777777</v>
      </c>
      <c r="K60">
        <f t="shared" si="5"/>
        <v>9</v>
      </c>
      <c r="L60">
        <v>2025</v>
      </c>
      <c r="M60">
        <v>2025</v>
      </c>
      <c r="N60">
        <v>2025</v>
      </c>
      <c r="O60">
        <v>2025</v>
      </c>
      <c r="P60" t="s">
        <v>27</v>
      </c>
      <c r="Q60" t="s">
        <v>28</v>
      </c>
      <c r="R60" s="2">
        <v>45619</v>
      </c>
      <c r="S60">
        <v>0</v>
      </c>
      <c r="T60" t="s">
        <v>29</v>
      </c>
      <c r="U60" t="s">
        <v>30</v>
      </c>
      <c r="V60" t="s">
        <v>31</v>
      </c>
      <c r="W60" t="s">
        <v>466</v>
      </c>
      <c r="X60" t="s">
        <v>41</v>
      </c>
      <c r="Y60" t="s">
        <v>33</v>
      </c>
      <c r="Z60" t="str">
        <f t="shared" si="6"/>
        <v>0-6</v>
      </c>
      <c r="AA60" t="s">
        <v>556</v>
      </c>
      <c r="AB60">
        <v>1</v>
      </c>
      <c r="AC60" t="str" cm="1">
        <f t="array" ref="AC60">_xlfn.SWITCH(AB60,
79,"Thành phố Hồ Chí Minh",
1,"Thành phố Hà Nội",
35,"Tỉnh Hà Nam",
31,"Thành phố Hải Phòng",
27,"Tỉnh Bắc Ninh",
77,"Tỉnh Bà Rịa - Vũng Tàu",
48,"Thành phố Đà Nẵng",
75,"Tỉnh Đồng Nai",
38,"Tỉnh Thanh Hoá",
82,"Tỉnh Tiền Giang",
74,"Tỉnh Bình Dương",
49,"Tỉnh Quảng Nam",
51,"Tỉnh Quảng Ngãi",
52,"Tỉnh Bình Định",
40,"Tỉnh Nghệ An",
"Không xác định"
)</f>
        <v>Thành phố Hà Nội</v>
      </c>
      <c r="AD60" t="str">
        <f t="shared" si="2"/>
        <v>44.15%</v>
      </c>
      <c r="AE60" t="s">
        <v>637</v>
      </c>
      <c r="AF60" s="8">
        <f t="shared" si="3"/>
        <v>45904</v>
      </c>
      <c r="AG60" s="8">
        <f>_xlfn.XLOOKUP(AE60, Dev!$A:$A, Dev!$B:$B, "")</f>
        <v>45680.692175925928</v>
      </c>
      <c r="AH60" s="11">
        <f t="shared" si="4"/>
        <v>223.30782407407241</v>
      </c>
    </row>
    <row r="61" spans="1:34" x14ac:dyDescent="0.3">
      <c r="A61" s="1">
        <v>59</v>
      </c>
      <c r="B61" t="s">
        <v>175</v>
      </c>
      <c r="C61">
        <v>778430</v>
      </c>
      <c r="D61">
        <v>632630</v>
      </c>
      <c r="E61" s="2">
        <v>45902</v>
      </c>
      <c r="F61" s="2">
        <v>45902</v>
      </c>
      <c r="G61" t="s">
        <v>45</v>
      </c>
      <c r="H61" t="s">
        <v>176</v>
      </c>
      <c r="I61" t="s">
        <v>26</v>
      </c>
      <c r="J61" s="3">
        <v>45904.418749999997</v>
      </c>
      <c r="K61">
        <f t="shared" si="5"/>
        <v>9</v>
      </c>
      <c r="L61">
        <v>2025</v>
      </c>
      <c r="M61">
        <v>2025</v>
      </c>
      <c r="N61">
        <v>2025</v>
      </c>
      <c r="O61">
        <v>2025</v>
      </c>
      <c r="P61" t="s">
        <v>27</v>
      </c>
      <c r="Q61" t="s">
        <v>28</v>
      </c>
      <c r="R61" s="2">
        <v>45750</v>
      </c>
      <c r="S61">
        <v>0</v>
      </c>
      <c r="T61" t="s">
        <v>29</v>
      </c>
      <c r="U61" t="s">
        <v>30</v>
      </c>
      <c r="V61" t="s">
        <v>31</v>
      </c>
      <c r="W61" t="s">
        <v>467</v>
      </c>
      <c r="X61" t="s">
        <v>36</v>
      </c>
      <c r="Y61" t="s">
        <v>33</v>
      </c>
      <c r="Z61" t="str">
        <f t="shared" si="6"/>
        <v>0-6</v>
      </c>
      <c r="AA61" t="s">
        <v>570</v>
      </c>
      <c r="AB61">
        <v>38</v>
      </c>
      <c r="AC61" t="str" cm="1">
        <f t="array" ref="AC61">_xlfn.SWITCH(AB61,
79,"Thành phố Hồ Chí Minh",
1,"Thành phố Hà Nội",
35,"Tỉnh Hà Nam",
31,"Thành phố Hải Phòng",
27,"Tỉnh Bắc Ninh",
77,"Tỉnh Bà Rịa - Vũng Tàu",
48,"Thành phố Đà Nẵng",
75,"Tỉnh Đồng Nai",
38,"Tỉnh Thanh Hoá",
82,"Tỉnh Tiền Giang",
74,"Tỉnh Bình Dương",
49,"Tỉnh Quảng Nam",
51,"Tỉnh Quảng Ngãi",
52,"Tỉnh Bình Định",
40,"Tỉnh Nghệ An",
"Không xác định"
)</f>
        <v>Tỉnh Thanh Hoá</v>
      </c>
      <c r="AD61" t="str">
        <f t="shared" si="2"/>
        <v>81.27%</v>
      </c>
      <c r="AE61" t="s">
        <v>651</v>
      </c>
      <c r="AF61" s="8">
        <f t="shared" si="3"/>
        <v>45904</v>
      </c>
      <c r="AG61" s="8">
        <f>_xlfn.XLOOKUP(AE61, Dev!$A:$A, Dev!$B:$B, "")</f>
        <v>45781.452673611115</v>
      </c>
      <c r="AH61" s="11">
        <f t="shared" si="4"/>
        <v>122.54732638888527</v>
      </c>
    </row>
    <row r="62" spans="1:34" x14ac:dyDescent="0.3">
      <c r="A62" s="1">
        <v>60</v>
      </c>
      <c r="B62" t="s">
        <v>177</v>
      </c>
      <c r="C62">
        <v>1285000</v>
      </c>
      <c r="D62">
        <v>676430</v>
      </c>
      <c r="E62" s="2">
        <v>45899</v>
      </c>
      <c r="F62" s="2">
        <v>45899</v>
      </c>
      <c r="G62" t="s">
        <v>45</v>
      </c>
      <c r="H62" t="s">
        <v>178</v>
      </c>
      <c r="I62" t="s">
        <v>26</v>
      </c>
      <c r="J62" s="3">
        <v>45904.394444444442</v>
      </c>
      <c r="K62">
        <f t="shared" si="5"/>
        <v>9</v>
      </c>
      <c r="L62">
        <v>2025</v>
      </c>
      <c r="M62">
        <v>2025</v>
      </c>
      <c r="N62">
        <v>2025</v>
      </c>
      <c r="O62">
        <v>2025</v>
      </c>
      <c r="P62" t="s">
        <v>27</v>
      </c>
      <c r="Q62" t="s">
        <v>28</v>
      </c>
      <c r="R62" s="2">
        <v>45750</v>
      </c>
      <c r="S62">
        <v>0</v>
      </c>
      <c r="T62" t="s">
        <v>29</v>
      </c>
      <c r="U62" t="s">
        <v>30</v>
      </c>
      <c r="V62" t="s">
        <v>31</v>
      </c>
      <c r="W62" t="s">
        <v>178</v>
      </c>
      <c r="X62" t="s">
        <v>179</v>
      </c>
      <c r="Y62" t="s">
        <v>33</v>
      </c>
      <c r="Z62" t="str">
        <f t="shared" si="6"/>
        <v>0-6</v>
      </c>
      <c r="AA62" t="s">
        <v>570</v>
      </c>
      <c r="AB62">
        <v>38</v>
      </c>
      <c r="AC62" t="str" cm="1">
        <f t="array" ref="AC62">_xlfn.SWITCH(AB62,
79,"Thành phố Hồ Chí Minh",
1,"Thành phố Hà Nội",
35,"Tỉnh Hà Nam",
31,"Thành phố Hải Phòng",
27,"Tỉnh Bắc Ninh",
77,"Tỉnh Bà Rịa - Vũng Tàu",
48,"Thành phố Đà Nẵng",
75,"Tỉnh Đồng Nai",
38,"Tỉnh Thanh Hoá",
82,"Tỉnh Tiền Giang",
74,"Tỉnh Bình Dương",
49,"Tỉnh Quảng Nam",
51,"Tỉnh Quảng Ngãi",
52,"Tỉnh Bình Định",
40,"Tỉnh Nghệ An",
"Không xác định"
)</f>
        <v>Tỉnh Thanh Hoá</v>
      </c>
      <c r="AD62" t="str">
        <f t="shared" si="2"/>
        <v>52.64%</v>
      </c>
      <c r="AE62" t="s">
        <v>651</v>
      </c>
      <c r="AF62" s="8">
        <f t="shared" si="3"/>
        <v>45904</v>
      </c>
      <c r="AG62" s="8">
        <f>_xlfn.XLOOKUP(AE62, Dev!$A:$A, Dev!$B:$B, "")</f>
        <v>45781.452673611115</v>
      </c>
      <c r="AH62" s="11">
        <f t="shared" si="4"/>
        <v>122.54732638888527</v>
      </c>
    </row>
    <row r="63" spans="1:34" x14ac:dyDescent="0.3">
      <c r="A63" s="1">
        <v>61</v>
      </c>
      <c r="B63" t="s">
        <v>180</v>
      </c>
      <c r="C63">
        <v>8318000</v>
      </c>
      <c r="D63">
        <v>7212195</v>
      </c>
      <c r="E63" s="2">
        <v>45852</v>
      </c>
      <c r="F63" s="2">
        <v>45855</v>
      </c>
      <c r="G63" t="s">
        <v>38</v>
      </c>
      <c r="H63" t="s">
        <v>181</v>
      </c>
      <c r="I63" t="s">
        <v>26</v>
      </c>
      <c r="J63" s="3">
        <v>45903.355555555558</v>
      </c>
      <c r="K63">
        <f t="shared" si="5"/>
        <v>9</v>
      </c>
      <c r="L63">
        <v>2025</v>
      </c>
      <c r="M63">
        <v>2025</v>
      </c>
      <c r="N63">
        <v>2025</v>
      </c>
      <c r="O63">
        <v>2025</v>
      </c>
      <c r="P63" t="s">
        <v>27</v>
      </c>
      <c r="Q63" t="s">
        <v>28</v>
      </c>
      <c r="R63" s="2">
        <v>45669</v>
      </c>
      <c r="S63">
        <v>0</v>
      </c>
      <c r="T63" t="s">
        <v>29</v>
      </c>
      <c r="U63" t="s">
        <v>30</v>
      </c>
      <c r="V63" t="s">
        <v>70</v>
      </c>
      <c r="W63" t="s">
        <v>181</v>
      </c>
      <c r="X63" t="s">
        <v>32</v>
      </c>
      <c r="Y63" t="s">
        <v>33</v>
      </c>
      <c r="Z63" t="str">
        <f t="shared" si="6"/>
        <v>0-6</v>
      </c>
      <c r="AA63" t="s">
        <v>571</v>
      </c>
      <c r="AB63">
        <v>1</v>
      </c>
      <c r="AC63" t="str" cm="1">
        <f t="array" ref="AC63">_xlfn.SWITCH(AB63,
79,"Thành phố Hồ Chí Minh",
1,"Thành phố Hà Nội",
35,"Tỉnh Hà Nam",
31,"Thành phố Hải Phòng",
27,"Tỉnh Bắc Ninh",
77,"Tỉnh Bà Rịa - Vũng Tàu",
48,"Thành phố Đà Nẵng",
75,"Tỉnh Đồng Nai",
38,"Tỉnh Thanh Hoá",
82,"Tỉnh Tiền Giang",
74,"Tỉnh Bình Dương",
49,"Tỉnh Quảng Nam",
51,"Tỉnh Quảng Ngãi",
52,"Tỉnh Bình Định",
40,"Tỉnh Nghệ An",
"Không xác định"
)</f>
        <v>Thành phố Hà Nội</v>
      </c>
      <c r="AD63" t="str">
        <f t="shared" si="2"/>
        <v>86.71%</v>
      </c>
      <c r="AE63" t="s">
        <v>652</v>
      </c>
      <c r="AF63" s="8">
        <f t="shared" si="3"/>
        <v>45903</v>
      </c>
      <c r="AG63" s="8">
        <f>_xlfn.XLOOKUP(AE63, Dev!$A:$A, Dev!$B:$B, "")</f>
        <v>45715.848414351851</v>
      </c>
      <c r="AH63" s="11">
        <f t="shared" si="4"/>
        <v>187.15158564814919</v>
      </c>
    </row>
    <row r="64" spans="1:34" x14ac:dyDescent="0.3">
      <c r="A64" s="1">
        <v>62</v>
      </c>
      <c r="B64" t="s">
        <v>182</v>
      </c>
      <c r="C64">
        <v>331000</v>
      </c>
      <c r="D64">
        <v>331221</v>
      </c>
      <c r="E64" s="2">
        <v>45901</v>
      </c>
      <c r="G64" t="s">
        <v>105</v>
      </c>
      <c r="H64" t="s">
        <v>183</v>
      </c>
      <c r="I64" t="s">
        <v>26</v>
      </c>
      <c r="J64" s="3">
        <v>45901.594444444447</v>
      </c>
      <c r="K64">
        <f t="shared" si="5"/>
        <v>9</v>
      </c>
      <c r="L64">
        <v>2025</v>
      </c>
      <c r="M64">
        <v>2025</v>
      </c>
      <c r="N64">
        <v>2025</v>
      </c>
      <c r="O64">
        <v>2025</v>
      </c>
      <c r="P64" t="s">
        <v>27</v>
      </c>
      <c r="Q64" t="s">
        <v>28</v>
      </c>
      <c r="R64" s="2">
        <v>45650</v>
      </c>
      <c r="S64">
        <v>0</v>
      </c>
      <c r="T64" t="s">
        <v>29</v>
      </c>
      <c r="U64" t="s">
        <v>30</v>
      </c>
      <c r="V64" t="s">
        <v>31</v>
      </c>
      <c r="W64" t="s">
        <v>468</v>
      </c>
      <c r="X64" t="s">
        <v>32</v>
      </c>
      <c r="Y64" t="s">
        <v>33</v>
      </c>
      <c r="Z64" t="str">
        <f t="shared" si="6"/>
        <v>0-6</v>
      </c>
      <c r="AA64" t="s">
        <v>555</v>
      </c>
      <c r="AB64">
        <v>48</v>
      </c>
      <c r="AC64" t="str" cm="1">
        <f t="array" ref="AC64">_xlfn.SWITCH(AB64,
79,"Thành phố Hồ Chí Minh",
1,"Thành phố Hà Nội",
35,"Tỉnh Hà Nam",
31,"Thành phố Hải Phòng",
27,"Tỉnh Bắc Ninh",
77,"Tỉnh Bà Rịa - Vũng Tàu",
48,"Thành phố Đà Nẵng",
75,"Tỉnh Đồng Nai",
38,"Tỉnh Thanh Hoá",
82,"Tỉnh Tiền Giang",
74,"Tỉnh Bình Dương",
49,"Tỉnh Quảng Nam",
51,"Tỉnh Quảng Ngãi",
52,"Tỉnh Bình Định",
40,"Tỉnh Nghệ An",
"Không xác định"
)</f>
        <v>Thành phố Đà Nẵng</v>
      </c>
      <c r="AD64" t="str">
        <f t="shared" si="2"/>
        <v>100.07%</v>
      </c>
      <c r="AE64" t="s">
        <v>636</v>
      </c>
      <c r="AF64" s="8">
        <f t="shared" si="3"/>
        <v>45901</v>
      </c>
      <c r="AG64" s="8">
        <f>_xlfn.XLOOKUP(AE64, Dev!$A:$A, Dev!$B:$B, "")</f>
        <v>45718.405949074076</v>
      </c>
      <c r="AH64" s="11">
        <f t="shared" si="4"/>
        <v>182.59405092592351</v>
      </c>
    </row>
    <row r="65" spans="1:34" x14ac:dyDescent="0.3">
      <c r="A65" s="1">
        <v>63</v>
      </c>
      <c r="B65" t="s">
        <v>184</v>
      </c>
      <c r="C65">
        <v>3235000</v>
      </c>
      <c r="D65">
        <v>2630788</v>
      </c>
      <c r="E65" s="2">
        <v>45862</v>
      </c>
      <c r="F65" s="2">
        <v>45867</v>
      </c>
      <c r="G65" t="s">
        <v>185</v>
      </c>
      <c r="H65" t="s">
        <v>186</v>
      </c>
      <c r="I65" t="s">
        <v>26</v>
      </c>
      <c r="J65" s="3">
        <v>45898.863888888889</v>
      </c>
      <c r="K65">
        <f t="shared" si="5"/>
        <v>8</v>
      </c>
      <c r="L65">
        <v>2025</v>
      </c>
      <c r="M65">
        <v>2025</v>
      </c>
      <c r="N65">
        <v>2025</v>
      </c>
      <c r="O65">
        <v>2025</v>
      </c>
      <c r="P65" t="s">
        <v>27</v>
      </c>
      <c r="Q65" t="s">
        <v>28</v>
      </c>
      <c r="R65" s="2">
        <v>45767</v>
      </c>
      <c r="S65">
        <v>0</v>
      </c>
      <c r="T65" t="s">
        <v>29</v>
      </c>
      <c r="U65" t="s">
        <v>40</v>
      </c>
      <c r="V65" t="s">
        <v>55</v>
      </c>
      <c r="W65" t="s">
        <v>186</v>
      </c>
      <c r="X65" t="s">
        <v>179</v>
      </c>
      <c r="Y65" t="s">
        <v>33</v>
      </c>
      <c r="Z65" t="str">
        <f t="shared" si="6"/>
        <v>0-6</v>
      </c>
      <c r="AA65" t="s">
        <v>572</v>
      </c>
      <c r="AB65">
        <v>1</v>
      </c>
      <c r="AC65" t="str" cm="1">
        <f t="array" ref="AC65">_xlfn.SWITCH(AB65,
79,"Thành phố Hồ Chí Minh",
1,"Thành phố Hà Nội",
35,"Tỉnh Hà Nam",
31,"Thành phố Hải Phòng",
27,"Tỉnh Bắc Ninh",
77,"Tỉnh Bà Rịa - Vũng Tàu",
48,"Thành phố Đà Nẵng",
75,"Tỉnh Đồng Nai",
38,"Tỉnh Thanh Hoá",
82,"Tỉnh Tiền Giang",
74,"Tỉnh Bình Dương",
49,"Tỉnh Quảng Nam",
51,"Tỉnh Quảng Ngãi",
52,"Tỉnh Bình Định",
40,"Tỉnh Nghệ An",
"Không xác định"
)</f>
        <v>Thành phố Hà Nội</v>
      </c>
      <c r="AD65" t="str">
        <f t="shared" si="2"/>
        <v>81.32%</v>
      </c>
      <c r="AE65" t="s">
        <v>653</v>
      </c>
      <c r="AF65" s="8">
        <f t="shared" si="3"/>
        <v>45898</v>
      </c>
      <c r="AG65" s="8">
        <f>_xlfn.XLOOKUP(AE65, Dev!$A:$A, Dev!$B:$B, "")</f>
        <v>45809.805509259262</v>
      </c>
      <c r="AH65" s="11">
        <f t="shared" si="4"/>
        <v>88.19449074073782</v>
      </c>
    </row>
    <row r="66" spans="1:34" x14ac:dyDescent="0.3">
      <c r="A66" s="1">
        <v>64</v>
      </c>
      <c r="B66" t="s">
        <v>187</v>
      </c>
      <c r="C66">
        <v>320000</v>
      </c>
      <c r="D66">
        <v>240000</v>
      </c>
      <c r="E66" s="2">
        <v>45859</v>
      </c>
      <c r="F66" s="2">
        <v>45863</v>
      </c>
      <c r="G66" t="s">
        <v>41</v>
      </c>
      <c r="H66" t="s">
        <v>188</v>
      </c>
      <c r="I66" t="s">
        <v>26</v>
      </c>
      <c r="J66" s="3">
        <v>45897.948611111111</v>
      </c>
      <c r="K66">
        <f t="shared" ref="K66:K97" si="7">MONTH(J66)</f>
        <v>8</v>
      </c>
      <c r="L66">
        <v>2025</v>
      </c>
      <c r="M66">
        <v>2025</v>
      </c>
      <c r="N66">
        <v>2025</v>
      </c>
      <c r="O66">
        <v>2025</v>
      </c>
      <c r="P66" t="s">
        <v>27</v>
      </c>
      <c r="Q66" t="s">
        <v>28</v>
      </c>
      <c r="R66" s="2">
        <v>45656</v>
      </c>
      <c r="S66">
        <v>0</v>
      </c>
      <c r="T66" t="s">
        <v>29</v>
      </c>
      <c r="U66" t="s">
        <v>40</v>
      </c>
      <c r="V66" t="s">
        <v>55</v>
      </c>
      <c r="W66" t="s">
        <v>469</v>
      </c>
      <c r="X66" t="s">
        <v>41</v>
      </c>
      <c r="Y66" t="s">
        <v>33</v>
      </c>
      <c r="Z66" t="str">
        <f t="shared" ref="Z66:Z97" si="8">IF(S66&lt;=6,"0-6",
IF(S66&lt;=17,"7-17",
IF(S66&lt;=35,"18-35",
IF(S66&lt;=55,"36-55",
"56+"))))</f>
        <v>0-6</v>
      </c>
      <c r="AA66" t="s">
        <v>573</v>
      </c>
      <c r="AB66">
        <v>82</v>
      </c>
      <c r="AC66" t="str" cm="1">
        <f t="array" ref="AC66">_xlfn.SWITCH(AB66,
79,"Thành phố Hồ Chí Minh",
1,"Thành phố Hà Nội",
35,"Tỉnh Hà Nam",
31,"Thành phố Hải Phòng",
27,"Tỉnh Bắc Ninh",
77,"Tỉnh Bà Rịa - Vũng Tàu",
48,"Thành phố Đà Nẵng",
75,"Tỉnh Đồng Nai",
38,"Tỉnh Thanh Hoá",
82,"Tỉnh Tiền Giang",
74,"Tỉnh Bình Dương",
49,"Tỉnh Quảng Nam",
51,"Tỉnh Quảng Ngãi",
52,"Tỉnh Bình Định",
40,"Tỉnh Nghệ An",
"Không xác định"
)</f>
        <v>Tỉnh Tiền Giang</v>
      </c>
      <c r="AD66" t="str">
        <f t="shared" si="2"/>
        <v>75%</v>
      </c>
      <c r="AE66" t="s">
        <v>654</v>
      </c>
      <c r="AF66" s="8">
        <f t="shared" si="3"/>
        <v>45897</v>
      </c>
      <c r="AG66" s="8">
        <f>_xlfn.XLOOKUP(AE66, Dev!$A:$A, Dev!$B:$B, "")</f>
        <v>45710.506944444445</v>
      </c>
      <c r="AH66" s="11">
        <f t="shared" si="4"/>
        <v>186.49305555555475</v>
      </c>
    </row>
    <row r="67" spans="1:34" x14ac:dyDescent="0.3">
      <c r="A67" s="1">
        <v>65</v>
      </c>
      <c r="B67" t="s">
        <v>189</v>
      </c>
      <c r="C67">
        <v>993355</v>
      </c>
      <c r="D67">
        <v>636240</v>
      </c>
      <c r="E67" s="2">
        <v>45896</v>
      </c>
      <c r="F67" s="2">
        <v>45896</v>
      </c>
      <c r="G67" t="s">
        <v>190</v>
      </c>
      <c r="H67" t="s">
        <v>191</v>
      </c>
      <c r="I67" t="s">
        <v>26</v>
      </c>
      <c r="J67" s="3">
        <v>45897.423611111109</v>
      </c>
      <c r="K67">
        <f t="shared" si="7"/>
        <v>8</v>
      </c>
      <c r="L67">
        <v>2025</v>
      </c>
      <c r="M67">
        <v>2025</v>
      </c>
      <c r="N67">
        <v>2025</v>
      </c>
      <c r="O67">
        <v>2025</v>
      </c>
      <c r="P67" t="s">
        <v>27</v>
      </c>
      <c r="Q67" t="s">
        <v>28</v>
      </c>
      <c r="R67" s="2">
        <v>45528</v>
      </c>
      <c r="S67">
        <v>1</v>
      </c>
      <c r="T67" t="s">
        <v>29</v>
      </c>
      <c r="U67" t="s">
        <v>40</v>
      </c>
      <c r="V67" t="s">
        <v>31</v>
      </c>
      <c r="W67" t="s">
        <v>191</v>
      </c>
      <c r="X67" t="s">
        <v>32</v>
      </c>
      <c r="Y67" t="s">
        <v>33</v>
      </c>
      <c r="Z67" t="str">
        <f t="shared" si="8"/>
        <v>0-6</v>
      </c>
      <c r="AA67" t="s">
        <v>574</v>
      </c>
      <c r="AB67">
        <v>74</v>
      </c>
      <c r="AC67" t="str" cm="1">
        <f t="array" ref="AC67">_xlfn.SWITCH(AB67,
79,"Thành phố Hồ Chí Minh",
1,"Thành phố Hà Nội",
35,"Tỉnh Hà Nam",
31,"Thành phố Hải Phòng",
27,"Tỉnh Bắc Ninh",
77,"Tỉnh Bà Rịa - Vũng Tàu",
48,"Thành phố Đà Nẵng",
75,"Tỉnh Đồng Nai",
38,"Tỉnh Thanh Hoá",
82,"Tỉnh Tiền Giang",
74,"Tỉnh Bình Dương",
49,"Tỉnh Quảng Nam",
51,"Tỉnh Quảng Ngãi",
52,"Tỉnh Bình Định",
40,"Tỉnh Nghệ An",
"Không xác định"
)</f>
        <v>Tỉnh Bình Dương</v>
      </c>
      <c r="AD67" t="str">
        <f t="shared" ref="AD67:AD130" si="9">ROUND((D67/C67)*100, 2) &amp; "%"</f>
        <v>64.05%</v>
      </c>
      <c r="AE67" t="s">
        <v>655</v>
      </c>
      <c r="AF67" s="8">
        <f t="shared" ref="AF67:AF130" si="10">INT(J67)</f>
        <v>45897</v>
      </c>
      <c r="AG67" s="8">
        <f>_xlfn.XLOOKUP(AE67, Dev!$A:$A, Dev!$B:$B, "")</f>
        <v>45707.436122685183</v>
      </c>
      <c r="AH67" s="11">
        <f t="shared" ref="AH67:AH130" si="11">AF67-AG67</f>
        <v>189.56387731481664</v>
      </c>
    </row>
    <row r="68" spans="1:34" x14ac:dyDescent="0.3">
      <c r="A68" s="1">
        <v>66</v>
      </c>
      <c r="B68" t="s">
        <v>192</v>
      </c>
      <c r="C68">
        <v>14719880</v>
      </c>
      <c r="D68">
        <v>14988280</v>
      </c>
      <c r="E68" s="2">
        <v>45884</v>
      </c>
      <c r="F68" s="2">
        <v>45891</v>
      </c>
      <c r="G68" t="s">
        <v>193</v>
      </c>
      <c r="H68" t="s">
        <v>194</v>
      </c>
      <c r="I68" t="s">
        <v>26</v>
      </c>
      <c r="J68" s="3">
        <v>45895.87777777778</v>
      </c>
      <c r="K68">
        <f t="shared" si="7"/>
        <v>8</v>
      </c>
      <c r="L68">
        <v>2025</v>
      </c>
      <c r="M68">
        <v>2025</v>
      </c>
      <c r="N68">
        <v>2025</v>
      </c>
      <c r="O68">
        <v>2025</v>
      </c>
      <c r="P68" t="s">
        <v>27</v>
      </c>
      <c r="Q68" t="s">
        <v>28</v>
      </c>
      <c r="R68" s="2">
        <v>45656</v>
      </c>
      <c r="S68">
        <v>0</v>
      </c>
      <c r="T68" t="s">
        <v>29</v>
      </c>
      <c r="U68" t="s">
        <v>40</v>
      </c>
      <c r="V68" t="s">
        <v>70</v>
      </c>
      <c r="W68" t="s">
        <v>73</v>
      </c>
      <c r="X68" t="s">
        <v>32</v>
      </c>
      <c r="Y68" t="s">
        <v>33</v>
      </c>
      <c r="Z68" t="str">
        <f t="shared" si="8"/>
        <v>0-6</v>
      </c>
      <c r="AA68" t="s">
        <v>575</v>
      </c>
      <c r="AB68">
        <v>82</v>
      </c>
      <c r="AC68" t="str" cm="1">
        <f t="array" ref="AC68">_xlfn.SWITCH(AB68,
79,"Thành phố Hồ Chí Minh",
1,"Thành phố Hà Nội",
35,"Tỉnh Hà Nam",
31,"Thành phố Hải Phòng",
27,"Tỉnh Bắc Ninh",
77,"Tỉnh Bà Rịa - Vũng Tàu",
48,"Thành phố Đà Nẵng",
75,"Tỉnh Đồng Nai",
38,"Tỉnh Thanh Hoá",
82,"Tỉnh Tiền Giang",
74,"Tỉnh Bình Dương",
49,"Tỉnh Quảng Nam",
51,"Tỉnh Quảng Ngãi",
52,"Tỉnh Bình Định",
40,"Tỉnh Nghệ An",
"Không xác định"
)</f>
        <v>Tỉnh Tiền Giang</v>
      </c>
      <c r="AD68" t="str">
        <f t="shared" si="9"/>
        <v>101.82%</v>
      </c>
      <c r="AE68" t="s">
        <v>656</v>
      </c>
      <c r="AF68" s="8">
        <f t="shared" si="10"/>
        <v>45895</v>
      </c>
      <c r="AG68" s="8">
        <f>_xlfn.XLOOKUP(AE68, Dev!$A:$A, Dev!$B:$B, "")</f>
        <v>45710.518067129633</v>
      </c>
      <c r="AH68" s="11">
        <f t="shared" si="11"/>
        <v>184.48193287036702</v>
      </c>
    </row>
    <row r="69" spans="1:34" x14ac:dyDescent="0.3">
      <c r="A69" s="1">
        <v>67</v>
      </c>
      <c r="B69" t="s">
        <v>195</v>
      </c>
      <c r="C69">
        <v>15187980</v>
      </c>
      <c r="D69">
        <v>15067280</v>
      </c>
      <c r="E69" s="2">
        <v>45884</v>
      </c>
      <c r="F69" s="2">
        <v>45891</v>
      </c>
      <c r="G69" t="s">
        <v>193</v>
      </c>
      <c r="H69" t="s">
        <v>194</v>
      </c>
      <c r="I69" t="s">
        <v>26</v>
      </c>
      <c r="J69" s="3">
        <v>45895.870138888888</v>
      </c>
      <c r="K69">
        <f t="shared" si="7"/>
        <v>8</v>
      </c>
      <c r="L69">
        <v>2025</v>
      </c>
      <c r="M69">
        <v>2025</v>
      </c>
      <c r="N69">
        <v>2025</v>
      </c>
      <c r="O69">
        <v>2025</v>
      </c>
      <c r="P69" t="s">
        <v>27</v>
      </c>
      <c r="Q69" t="s">
        <v>28</v>
      </c>
      <c r="R69" s="2">
        <v>45656</v>
      </c>
      <c r="S69">
        <v>0</v>
      </c>
      <c r="T69" t="s">
        <v>29</v>
      </c>
      <c r="U69" t="s">
        <v>40</v>
      </c>
      <c r="V69" t="s">
        <v>70</v>
      </c>
      <c r="W69" t="s">
        <v>73</v>
      </c>
      <c r="X69" t="s">
        <v>32</v>
      </c>
      <c r="Y69" t="s">
        <v>33</v>
      </c>
      <c r="Z69" t="str">
        <f t="shared" si="8"/>
        <v>0-6</v>
      </c>
      <c r="AA69" t="s">
        <v>573</v>
      </c>
      <c r="AB69">
        <v>82</v>
      </c>
      <c r="AC69" t="str" cm="1">
        <f t="array" ref="AC69">_xlfn.SWITCH(AB69,
79,"Thành phố Hồ Chí Minh",
1,"Thành phố Hà Nội",
35,"Tỉnh Hà Nam",
31,"Thành phố Hải Phòng",
27,"Tỉnh Bắc Ninh",
77,"Tỉnh Bà Rịa - Vũng Tàu",
48,"Thành phố Đà Nẵng",
75,"Tỉnh Đồng Nai",
38,"Tỉnh Thanh Hoá",
82,"Tỉnh Tiền Giang",
74,"Tỉnh Bình Dương",
49,"Tỉnh Quảng Nam",
51,"Tỉnh Quảng Ngãi",
52,"Tỉnh Bình Định",
40,"Tỉnh Nghệ An",
"Không xác định"
)</f>
        <v>Tỉnh Tiền Giang</v>
      </c>
      <c r="AD69" t="str">
        <f t="shared" si="9"/>
        <v>99.21%</v>
      </c>
      <c r="AE69" t="s">
        <v>654</v>
      </c>
      <c r="AF69" s="8">
        <f t="shared" si="10"/>
        <v>45895</v>
      </c>
      <c r="AG69" s="8">
        <f>_xlfn.XLOOKUP(AE69, Dev!$A:$A, Dev!$B:$B, "")</f>
        <v>45710.506944444445</v>
      </c>
      <c r="AH69" s="11">
        <f t="shared" si="11"/>
        <v>184.49305555555475</v>
      </c>
    </row>
    <row r="70" spans="1:34" x14ac:dyDescent="0.3">
      <c r="A70" s="1">
        <v>68</v>
      </c>
      <c r="B70" t="s">
        <v>196</v>
      </c>
      <c r="C70">
        <v>1429400</v>
      </c>
      <c r="D70">
        <v>663520</v>
      </c>
      <c r="E70" s="2">
        <v>45870</v>
      </c>
      <c r="F70" s="2">
        <v>45870</v>
      </c>
      <c r="G70" t="s">
        <v>110</v>
      </c>
      <c r="H70" t="s">
        <v>197</v>
      </c>
      <c r="I70" t="s">
        <v>26</v>
      </c>
      <c r="J70" s="3">
        <v>45895.739583333336</v>
      </c>
      <c r="K70">
        <f t="shared" si="7"/>
        <v>8</v>
      </c>
      <c r="L70">
        <v>2025</v>
      </c>
      <c r="M70">
        <v>2025</v>
      </c>
      <c r="N70">
        <v>2025</v>
      </c>
      <c r="O70">
        <v>2025</v>
      </c>
      <c r="P70" t="s">
        <v>27</v>
      </c>
      <c r="Q70" t="s">
        <v>28</v>
      </c>
      <c r="R70" s="2">
        <v>45503</v>
      </c>
      <c r="S70">
        <v>1</v>
      </c>
      <c r="T70" t="s">
        <v>29</v>
      </c>
      <c r="U70" t="s">
        <v>40</v>
      </c>
      <c r="V70" t="s">
        <v>31</v>
      </c>
      <c r="W70" t="s">
        <v>470</v>
      </c>
      <c r="X70" t="s">
        <v>32</v>
      </c>
      <c r="Y70" t="s">
        <v>33</v>
      </c>
      <c r="Z70" t="str">
        <f t="shared" si="8"/>
        <v>0-6</v>
      </c>
      <c r="AA70" t="s">
        <v>576</v>
      </c>
      <c r="AB70">
        <v>1</v>
      </c>
      <c r="AC70" t="str" cm="1">
        <f t="array" ref="AC70">_xlfn.SWITCH(AB70,
79,"Thành phố Hồ Chí Minh",
1,"Thành phố Hà Nội",
35,"Tỉnh Hà Nam",
31,"Thành phố Hải Phòng",
27,"Tỉnh Bắc Ninh",
77,"Tỉnh Bà Rịa - Vũng Tàu",
48,"Thành phố Đà Nẵng",
75,"Tỉnh Đồng Nai",
38,"Tỉnh Thanh Hoá",
82,"Tỉnh Tiền Giang",
74,"Tỉnh Bình Dương",
49,"Tỉnh Quảng Nam",
51,"Tỉnh Quảng Ngãi",
52,"Tỉnh Bình Định",
40,"Tỉnh Nghệ An",
"Không xác định"
)</f>
        <v>Thành phố Hà Nội</v>
      </c>
      <c r="AD70" t="str">
        <f t="shared" si="9"/>
        <v>46.42%</v>
      </c>
      <c r="AE70" t="s">
        <v>657</v>
      </c>
      <c r="AF70" s="8">
        <f t="shared" si="10"/>
        <v>45895</v>
      </c>
      <c r="AG70" s="8">
        <f>_xlfn.XLOOKUP(AE70, Dev!$A:$A, Dev!$B:$B, "")</f>
        <v>45582.836319444446</v>
      </c>
      <c r="AH70" s="11">
        <f t="shared" si="11"/>
        <v>312.16368055555358</v>
      </c>
    </row>
    <row r="71" spans="1:34" x14ac:dyDescent="0.3">
      <c r="A71" s="1">
        <v>69</v>
      </c>
      <c r="B71" t="s">
        <v>198</v>
      </c>
      <c r="C71">
        <v>649427</v>
      </c>
      <c r="D71">
        <v>519542</v>
      </c>
      <c r="E71" s="2">
        <v>45895</v>
      </c>
      <c r="G71" t="s">
        <v>72</v>
      </c>
      <c r="H71" t="s">
        <v>199</v>
      </c>
      <c r="I71" t="s">
        <v>26</v>
      </c>
      <c r="J71" s="3">
        <v>45895.720833333333</v>
      </c>
      <c r="K71">
        <f t="shared" si="7"/>
        <v>8</v>
      </c>
      <c r="L71">
        <v>2025</v>
      </c>
      <c r="M71">
        <v>2025</v>
      </c>
      <c r="N71">
        <v>2025</v>
      </c>
      <c r="O71">
        <v>2025</v>
      </c>
      <c r="P71" t="s">
        <v>27</v>
      </c>
      <c r="Q71" t="s">
        <v>28</v>
      </c>
      <c r="R71" s="2">
        <v>45636</v>
      </c>
      <c r="S71">
        <v>0</v>
      </c>
      <c r="T71" t="s">
        <v>29</v>
      </c>
      <c r="U71" t="s">
        <v>30</v>
      </c>
      <c r="V71" t="s">
        <v>31</v>
      </c>
      <c r="W71" t="s">
        <v>471</v>
      </c>
      <c r="X71" t="s">
        <v>41</v>
      </c>
      <c r="Y71" t="s">
        <v>33</v>
      </c>
      <c r="Z71" t="str">
        <f t="shared" si="8"/>
        <v>0-6</v>
      </c>
      <c r="AA71" t="s">
        <v>544</v>
      </c>
      <c r="AB71">
        <v>31</v>
      </c>
      <c r="AC71" t="str" cm="1">
        <f t="array" ref="AC71">_xlfn.SWITCH(AB71,
79,"Thành phố Hồ Chí Minh",
1,"Thành phố Hà Nội",
35,"Tỉnh Hà Nam",
31,"Thành phố Hải Phòng",
27,"Tỉnh Bắc Ninh",
77,"Tỉnh Bà Rịa - Vũng Tàu",
48,"Thành phố Đà Nẵng",
75,"Tỉnh Đồng Nai",
38,"Tỉnh Thanh Hoá",
82,"Tỉnh Tiền Giang",
74,"Tỉnh Bình Dương",
49,"Tỉnh Quảng Nam",
51,"Tỉnh Quảng Ngãi",
52,"Tỉnh Bình Định",
40,"Tỉnh Nghệ An",
"Không xác định"
)</f>
        <v>Thành phố Hải Phòng</v>
      </c>
      <c r="AD71" t="str">
        <f t="shared" si="9"/>
        <v>80%</v>
      </c>
      <c r="AE71" t="s">
        <v>625</v>
      </c>
      <c r="AF71" s="8">
        <f t="shared" si="10"/>
        <v>45895</v>
      </c>
      <c r="AG71" s="8">
        <f>_xlfn.XLOOKUP(AE71, Dev!$A:$A, Dev!$B:$B, "")</f>
        <v>45751.643692129626</v>
      </c>
      <c r="AH71" s="11">
        <f t="shared" si="11"/>
        <v>143.35630787037371</v>
      </c>
    </row>
    <row r="72" spans="1:34" x14ac:dyDescent="0.3">
      <c r="A72" s="1">
        <v>70</v>
      </c>
      <c r="B72" t="s">
        <v>200</v>
      </c>
      <c r="C72">
        <v>168000</v>
      </c>
      <c r="D72">
        <v>102400</v>
      </c>
      <c r="E72" s="2">
        <v>45885</v>
      </c>
      <c r="F72" s="2">
        <v>45885</v>
      </c>
      <c r="G72" t="s">
        <v>113</v>
      </c>
      <c r="H72" t="s">
        <v>201</v>
      </c>
      <c r="I72" t="s">
        <v>26</v>
      </c>
      <c r="J72" s="3">
        <v>45895.518750000003</v>
      </c>
      <c r="K72">
        <f t="shared" si="7"/>
        <v>8</v>
      </c>
      <c r="L72">
        <v>2025</v>
      </c>
      <c r="M72">
        <v>2025</v>
      </c>
      <c r="N72">
        <v>2025</v>
      </c>
      <c r="O72">
        <v>2025</v>
      </c>
      <c r="P72" t="s">
        <v>27</v>
      </c>
      <c r="Q72" t="s">
        <v>28</v>
      </c>
      <c r="R72" s="2">
        <v>44269</v>
      </c>
      <c r="S72">
        <v>4</v>
      </c>
      <c r="T72" t="s">
        <v>29</v>
      </c>
      <c r="U72" t="s">
        <v>40</v>
      </c>
      <c r="V72" t="s">
        <v>31</v>
      </c>
      <c r="W72" t="s">
        <v>201</v>
      </c>
      <c r="X72" t="s">
        <v>32</v>
      </c>
      <c r="Y72" t="s">
        <v>33</v>
      </c>
      <c r="Z72" t="str">
        <f t="shared" si="8"/>
        <v>0-6</v>
      </c>
      <c r="AA72" t="s">
        <v>539</v>
      </c>
      <c r="AB72">
        <v>79</v>
      </c>
      <c r="AC72" t="str" cm="1">
        <f t="array" ref="AC72">_xlfn.SWITCH(AB72,
79,"Thành phố Hồ Chí Minh",
1,"Thành phố Hà Nội",
35,"Tỉnh Hà Nam",
31,"Thành phố Hải Phòng",
27,"Tỉnh Bắc Ninh",
77,"Tỉnh Bà Rịa - Vũng Tàu",
48,"Thành phố Đà Nẵng",
75,"Tỉnh Đồng Nai",
38,"Tỉnh Thanh Hoá",
82,"Tỉnh Tiền Giang",
74,"Tỉnh Bình Dương",
49,"Tỉnh Quảng Nam",
51,"Tỉnh Quảng Ngãi",
52,"Tỉnh Bình Định",
40,"Tỉnh Nghệ An",
"Không xác định"
)</f>
        <v>Thành phố Hồ Chí Minh</v>
      </c>
      <c r="AD72" t="str">
        <f t="shared" si="9"/>
        <v>60.95%</v>
      </c>
      <c r="AE72" t="s">
        <v>620</v>
      </c>
      <c r="AF72" s="8">
        <f t="shared" si="10"/>
        <v>45895</v>
      </c>
      <c r="AG72" s="8">
        <f>_xlfn.XLOOKUP(AE72, Dev!$A:$A, Dev!$B:$B, "")</f>
        <v>45689</v>
      </c>
      <c r="AH72" s="11">
        <f t="shared" si="11"/>
        <v>206</v>
      </c>
    </row>
    <row r="73" spans="1:34" x14ac:dyDescent="0.3">
      <c r="A73" s="1">
        <v>71</v>
      </c>
      <c r="B73" t="s">
        <v>202</v>
      </c>
      <c r="C73">
        <v>118500</v>
      </c>
      <c r="D73">
        <v>94800</v>
      </c>
      <c r="E73" s="2">
        <v>45882</v>
      </c>
      <c r="F73" s="2">
        <v>45882</v>
      </c>
      <c r="G73" t="s">
        <v>113</v>
      </c>
      <c r="H73" t="s">
        <v>203</v>
      </c>
      <c r="I73" t="s">
        <v>26</v>
      </c>
      <c r="J73" s="3">
        <v>45895.517361111109</v>
      </c>
      <c r="K73">
        <f t="shared" si="7"/>
        <v>8</v>
      </c>
      <c r="L73">
        <v>2025</v>
      </c>
      <c r="M73">
        <v>2025</v>
      </c>
      <c r="N73">
        <v>2025</v>
      </c>
      <c r="O73">
        <v>2025</v>
      </c>
      <c r="P73" t="s">
        <v>27</v>
      </c>
      <c r="Q73" t="s">
        <v>28</v>
      </c>
      <c r="R73" s="2">
        <v>44269</v>
      </c>
      <c r="S73">
        <v>4</v>
      </c>
      <c r="T73" t="s">
        <v>29</v>
      </c>
      <c r="U73" t="s">
        <v>40</v>
      </c>
      <c r="V73" t="s">
        <v>31</v>
      </c>
      <c r="W73" t="s">
        <v>472</v>
      </c>
      <c r="X73" t="s">
        <v>32</v>
      </c>
      <c r="Y73" t="s">
        <v>33</v>
      </c>
      <c r="Z73" t="str">
        <f t="shared" si="8"/>
        <v>0-6</v>
      </c>
      <c r="AA73" t="s">
        <v>539</v>
      </c>
      <c r="AB73">
        <v>79</v>
      </c>
      <c r="AC73" t="str" cm="1">
        <f t="array" ref="AC73">_xlfn.SWITCH(AB73,
79,"Thành phố Hồ Chí Minh",
1,"Thành phố Hà Nội",
35,"Tỉnh Hà Nam",
31,"Thành phố Hải Phòng",
27,"Tỉnh Bắc Ninh",
77,"Tỉnh Bà Rịa - Vũng Tàu",
48,"Thành phố Đà Nẵng",
75,"Tỉnh Đồng Nai",
38,"Tỉnh Thanh Hoá",
82,"Tỉnh Tiền Giang",
74,"Tỉnh Bình Dương",
49,"Tỉnh Quảng Nam",
51,"Tỉnh Quảng Ngãi",
52,"Tỉnh Bình Định",
40,"Tỉnh Nghệ An",
"Không xác định"
)</f>
        <v>Thành phố Hồ Chí Minh</v>
      </c>
      <c r="AD73" t="str">
        <f t="shared" si="9"/>
        <v>80%</v>
      </c>
      <c r="AE73" t="s">
        <v>620</v>
      </c>
      <c r="AF73" s="8">
        <f t="shared" si="10"/>
        <v>45895</v>
      </c>
      <c r="AG73" s="8">
        <f>_xlfn.XLOOKUP(AE73, Dev!$A:$A, Dev!$B:$B, "")</f>
        <v>45689</v>
      </c>
      <c r="AH73" s="11">
        <f t="shared" si="11"/>
        <v>206</v>
      </c>
    </row>
    <row r="74" spans="1:34" x14ac:dyDescent="0.3">
      <c r="A74" s="1">
        <v>72</v>
      </c>
      <c r="B74" t="s">
        <v>204</v>
      </c>
      <c r="C74">
        <v>693765</v>
      </c>
      <c r="D74">
        <v>341950</v>
      </c>
      <c r="E74" s="2">
        <v>45889</v>
      </c>
      <c r="F74" s="2">
        <v>45889</v>
      </c>
      <c r="G74" t="s">
        <v>205</v>
      </c>
      <c r="H74" t="s">
        <v>206</v>
      </c>
      <c r="I74" t="s">
        <v>26</v>
      </c>
      <c r="J74" s="3">
        <v>45894.688194444447</v>
      </c>
      <c r="K74">
        <f t="shared" si="7"/>
        <v>8</v>
      </c>
      <c r="L74">
        <v>2025</v>
      </c>
      <c r="M74">
        <v>2025</v>
      </c>
      <c r="N74">
        <v>2025</v>
      </c>
      <c r="O74">
        <v>2025</v>
      </c>
      <c r="P74" t="s">
        <v>27</v>
      </c>
      <c r="Q74" t="s">
        <v>28</v>
      </c>
      <c r="R74" s="2">
        <v>45494</v>
      </c>
      <c r="S74">
        <v>1</v>
      </c>
      <c r="T74" t="s">
        <v>29</v>
      </c>
      <c r="U74" t="s">
        <v>40</v>
      </c>
      <c r="V74" t="s">
        <v>31</v>
      </c>
      <c r="W74" t="s">
        <v>473</v>
      </c>
      <c r="X74" t="s">
        <v>77</v>
      </c>
      <c r="Y74" t="s">
        <v>33</v>
      </c>
      <c r="Z74" t="str">
        <f t="shared" si="8"/>
        <v>0-6</v>
      </c>
      <c r="AA74" t="s">
        <v>577</v>
      </c>
      <c r="AB74">
        <v>79</v>
      </c>
      <c r="AC74" t="str" cm="1">
        <f t="array" ref="AC74">_xlfn.SWITCH(AB74,
79,"Thành phố Hồ Chí Minh",
1,"Thành phố Hà Nội",
35,"Tỉnh Hà Nam",
31,"Thành phố Hải Phòng",
27,"Tỉnh Bắc Ninh",
77,"Tỉnh Bà Rịa - Vũng Tàu",
48,"Thành phố Đà Nẵng",
75,"Tỉnh Đồng Nai",
38,"Tỉnh Thanh Hoá",
82,"Tỉnh Tiền Giang",
74,"Tỉnh Bình Dương",
49,"Tỉnh Quảng Nam",
51,"Tỉnh Quảng Ngãi",
52,"Tỉnh Bình Định",
40,"Tỉnh Nghệ An",
"Không xác định"
)</f>
        <v>Thành phố Hồ Chí Minh</v>
      </c>
      <c r="AD74" t="str">
        <f t="shared" si="9"/>
        <v>49.29%</v>
      </c>
      <c r="AE74" t="s">
        <v>658</v>
      </c>
      <c r="AF74" s="8">
        <f t="shared" si="10"/>
        <v>45894</v>
      </c>
      <c r="AG74" s="8">
        <f>_xlfn.XLOOKUP(AE74, Dev!$A:$A, Dev!$B:$B, "")</f>
        <v>45837.660173611112</v>
      </c>
      <c r="AH74" s="11">
        <f t="shared" si="11"/>
        <v>56.339826388888469</v>
      </c>
    </row>
    <row r="75" spans="1:34" x14ac:dyDescent="0.3">
      <c r="A75" s="1">
        <v>73</v>
      </c>
      <c r="B75" t="s">
        <v>207</v>
      </c>
      <c r="C75">
        <v>141000</v>
      </c>
      <c r="D75">
        <v>112800</v>
      </c>
      <c r="E75" s="2">
        <v>45880</v>
      </c>
      <c r="F75" s="2">
        <v>45880</v>
      </c>
      <c r="G75" t="s">
        <v>41</v>
      </c>
      <c r="H75" t="s">
        <v>208</v>
      </c>
      <c r="I75" t="s">
        <v>26</v>
      </c>
      <c r="J75" s="3">
        <v>45894.685416666667</v>
      </c>
      <c r="K75">
        <f t="shared" si="7"/>
        <v>8</v>
      </c>
      <c r="L75">
        <v>2025</v>
      </c>
      <c r="M75">
        <v>2025</v>
      </c>
      <c r="N75">
        <v>2025</v>
      </c>
      <c r="O75">
        <v>2025</v>
      </c>
      <c r="P75" t="s">
        <v>27</v>
      </c>
      <c r="Q75" t="s">
        <v>28</v>
      </c>
      <c r="R75" s="2">
        <v>45494</v>
      </c>
      <c r="S75">
        <v>1</v>
      </c>
      <c r="T75" t="s">
        <v>29</v>
      </c>
      <c r="U75" t="s">
        <v>40</v>
      </c>
      <c r="V75" t="s">
        <v>31</v>
      </c>
      <c r="W75" t="s">
        <v>209</v>
      </c>
      <c r="X75" t="s">
        <v>36</v>
      </c>
      <c r="Y75" t="s">
        <v>33</v>
      </c>
      <c r="Z75" t="str">
        <f t="shared" si="8"/>
        <v>0-6</v>
      </c>
      <c r="AA75" t="s">
        <v>577</v>
      </c>
      <c r="AB75">
        <v>79</v>
      </c>
      <c r="AC75" t="str" cm="1">
        <f t="array" ref="AC75">_xlfn.SWITCH(AB75,
79,"Thành phố Hồ Chí Minh",
1,"Thành phố Hà Nội",
35,"Tỉnh Hà Nam",
31,"Thành phố Hải Phòng",
27,"Tỉnh Bắc Ninh",
77,"Tỉnh Bà Rịa - Vũng Tàu",
48,"Thành phố Đà Nẵng",
75,"Tỉnh Đồng Nai",
38,"Tỉnh Thanh Hoá",
82,"Tỉnh Tiền Giang",
74,"Tỉnh Bình Dương",
49,"Tỉnh Quảng Nam",
51,"Tỉnh Quảng Ngãi",
52,"Tỉnh Bình Định",
40,"Tỉnh Nghệ An",
"Không xác định"
)</f>
        <v>Thành phố Hồ Chí Minh</v>
      </c>
      <c r="AD75" t="str">
        <f t="shared" si="9"/>
        <v>80%</v>
      </c>
      <c r="AE75" t="s">
        <v>658</v>
      </c>
      <c r="AF75" s="8">
        <f t="shared" si="10"/>
        <v>45894</v>
      </c>
      <c r="AG75" s="8">
        <f>_xlfn.XLOOKUP(AE75, Dev!$A:$A, Dev!$B:$B, "")</f>
        <v>45837.660173611112</v>
      </c>
      <c r="AH75" s="11">
        <f t="shared" si="11"/>
        <v>56.339826388888469</v>
      </c>
    </row>
    <row r="76" spans="1:34" x14ac:dyDescent="0.3">
      <c r="A76" s="1">
        <v>74</v>
      </c>
      <c r="B76" t="s">
        <v>210</v>
      </c>
      <c r="C76">
        <v>403000</v>
      </c>
      <c r="D76">
        <v>322400</v>
      </c>
      <c r="E76" s="2">
        <v>45878</v>
      </c>
      <c r="F76" s="2">
        <v>45878</v>
      </c>
      <c r="G76" t="s">
        <v>41</v>
      </c>
      <c r="H76" t="s">
        <v>211</v>
      </c>
      <c r="I76" t="s">
        <v>26</v>
      </c>
      <c r="J76" s="3">
        <v>45894.682638888888</v>
      </c>
      <c r="K76">
        <f t="shared" si="7"/>
        <v>8</v>
      </c>
      <c r="L76">
        <v>2025</v>
      </c>
      <c r="M76">
        <v>2025</v>
      </c>
      <c r="N76">
        <v>2025</v>
      </c>
      <c r="O76">
        <v>2025</v>
      </c>
      <c r="P76" t="s">
        <v>27</v>
      </c>
      <c r="Q76" t="s">
        <v>28</v>
      </c>
      <c r="R76" s="2">
        <v>45494</v>
      </c>
      <c r="S76">
        <v>1</v>
      </c>
      <c r="T76" t="s">
        <v>29</v>
      </c>
      <c r="U76" t="s">
        <v>40</v>
      </c>
      <c r="V76" t="s">
        <v>31</v>
      </c>
      <c r="W76" t="s">
        <v>211</v>
      </c>
      <c r="X76" t="s">
        <v>41</v>
      </c>
      <c r="Y76" t="s">
        <v>33</v>
      </c>
      <c r="Z76" t="str">
        <f t="shared" si="8"/>
        <v>0-6</v>
      </c>
      <c r="AA76" t="s">
        <v>577</v>
      </c>
      <c r="AB76">
        <v>79</v>
      </c>
      <c r="AC76" t="str" cm="1">
        <f t="array" ref="AC76">_xlfn.SWITCH(AB76,
79,"Thành phố Hồ Chí Minh",
1,"Thành phố Hà Nội",
35,"Tỉnh Hà Nam",
31,"Thành phố Hải Phòng",
27,"Tỉnh Bắc Ninh",
77,"Tỉnh Bà Rịa - Vũng Tàu",
48,"Thành phố Đà Nẵng",
75,"Tỉnh Đồng Nai",
38,"Tỉnh Thanh Hoá",
82,"Tỉnh Tiền Giang",
74,"Tỉnh Bình Dương",
49,"Tỉnh Quảng Nam",
51,"Tỉnh Quảng Ngãi",
52,"Tỉnh Bình Định",
40,"Tỉnh Nghệ An",
"Không xác định"
)</f>
        <v>Thành phố Hồ Chí Minh</v>
      </c>
      <c r="AD76" t="str">
        <f t="shared" si="9"/>
        <v>80%</v>
      </c>
      <c r="AE76" t="s">
        <v>658</v>
      </c>
      <c r="AF76" s="8">
        <f t="shared" si="10"/>
        <v>45894</v>
      </c>
      <c r="AG76" s="8">
        <f>_xlfn.XLOOKUP(AE76, Dev!$A:$A, Dev!$B:$B, "")</f>
        <v>45837.660173611112</v>
      </c>
      <c r="AH76" s="11">
        <f t="shared" si="11"/>
        <v>56.339826388888469</v>
      </c>
    </row>
    <row r="77" spans="1:34" x14ac:dyDescent="0.3">
      <c r="A77" s="1">
        <v>75</v>
      </c>
      <c r="B77" t="s">
        <v>212</v>
      </c>
      <c r="C77">
        <v>66000</v>
      </c>
      <c r="D77">
        <v>52800</v>
      </c>
      <c r="E77" s="2">
        <v>45876</v>
      </c>
      <c r="F77" s="2">
        <v>45876</v>
      </c>
      <c r="G77" t="s">
        <v>41</v>
      </c>
      <c r="H77" t="s">
        <v>213</v>
      </c>
      <c r="I77" t="s">
        <v>26</v>
      </c>
      <c r="J77" s="3">
        <v>45894.679166666669</v>
      </c>
      <c r="K77">
        <f t="shared" si="7"/>
        <v>8</v>
      </c>
      <c r="L77">
        <v>2025</v>
      </c>
      <c r="M77">
        <v>2025</v>
      </c>
      <c r="N77">
        <v>2025</v>
      </c>
      <c r="O77">
        <v>2025</v>
      </c>
      <c r="P77" t="s">
        <v>27</v>
      </c>
      <c r="Q77" t="s">
        <v>28</v>
      </c>
      <c r="R77" s="2">
        <v>45494</v>
      </c>
      <c r="S77">
        <v>1</v>
      </c>
      <c r="T77" t="s">
        <v>29</v>
      </c>
      <c r="U77" t="s">
        <v>40</v>
      </c>
      <c r="V77" t="s">
        <v>70</v>
      </c>
      <c r="W77" t="s">
        <v>213</v>
      </c>
      <c r="X77" t="s">
        <v>32</v>
      </c>
      <c r="Y77" t="s">
        <v>33</v>
      </c>
      <c r="Z77" t="str">
        <f t="shared" si="8"/>
        <v>0-6</v>
      </c>
      <c r="AA77" t="s">
        <v>577</v>
      </c>
      <c r="AB77">
        <v>79</v>
      </c>
      <c r="AC77" t="str" cm="1">
        <f t="array" ref="AC77">_xlfn.SWITCH(AB77,
79,"Thành phố Hồ Chí Minh",
1,"Thành phố Hà Nội",
35,"Tỉnh Hà Nam",
31,"Thành phố Hải Phòng",
27,"Tỉnh Bắc Ninh",
77,"Tỉnh Bà Rịa - Vũng Tàu",
48,"Thành phố Đà Nẵng",
75,"Tỉnh Đồng Nai",
38,"Tỉnh Thanh Hoá",
82,"Tỉnh Tiền Giang",
74,"Tỉnh Bình Dương",
49,"Tỉnh Quảng Nam",
51,"Tỉnh Quảng Ngãi",
52,"Tỉnh Bình Định",
40,"Tỉnh Nghệ An",
"Không xác định"
)</f>
        <v>Thành phố Hồ Chí Minh</v>
      </c>
      <c r="AD77" t="str">
        <f t="shared" si="9"/>
        <v>80%</v>
      </c>
      <c r="AE77" t="s">
        <v>658</v>
      </c>
      <c r="AF77" s="8">
        <f t="shared" si="10"/>
        <v>45894</v>
      </c>
      <c r="AG77" s="8">
        <f>_xlfn.XLOOKUP(AE77, Dev!$A:$A, Dev!$B:$B, "")</f>
        <v>45837.660173611112</v>
      </c>
      <c r="AH77" s="11">
        <f t="shared" si="11"/>
        <v>56.339826388888469</v>
      </c>
    </row>
    <row r="78" spans="1:34" x14ac:dyDescent="0.3">
      <c r="A78" s="1">
        <v>76</v>
      </c>
      <c r="B78" t="s">
        <v>214</v>
      </c>
      <c r="C78">
        <v>767824</v>
      </c>
      <c r="D78">
        <v>602259</v>
      </c>
      <c r="E78" s="2">
        <v>45894</v>
      </c>
      <c r="G78" t="s">
        <v>190</v>
      </c>
      <c r="H78" t="s">
        <v>191</v>
      </c>
      <c r="I78" t="s">
        <v>26</v>
      </c>
      <c r="J78" s="3">
        <v>45894.468055555553</v>
      </c>
      <c r="K78">
        <f t="shared" si="7"/>
        <v>8</v>
      </c>
      <c r="L78">
        <v>2025</v>
      </c>
      <c r="M78">
        <v>2025</v>
      </c>
      <c r="N78">
        <v>2025</v>
      </c>
      <c r="O78">
        <v>2025</v>
      </c>
      <c r="P78" t="s">
        <v>27</v>
      </c>
      <c r="Q78" t="s">
        <v>28</v>
      </c>
      <c r="R78" s="2">
        <v>45528</v>
      </c>
      <c r="S78">
        <v>1</v>
      </c>
      <c r="T78" t="s">
        <v>29</v>
      </c>
      <c r="U78" t="s">
        <v>40</v>
      </c>
      <c r="V78" t="s">
        <v>31</v>
      </c>
      <c r="W78" t="s">
        <v>191</v>
      </c>
      <c r="X78" t="s">
        <v>32</v>
      </c>
      <c r="Y78" t="s">
        <v>33</v>
      </c>
      <c r="Z78" t="str">
        <f t="shared" si="8"/>
        <v>0-6</v>
      </c>
      <c r="AA78" t="s">
        <v>574</v>
      </c>
      <c r="AB78">
        <v>74</v>
      </c>
      <c r="AC78" t="str" cm="1">
        <f t="array" ref="AC78">_xlfn.SWITCH(AB78,
79,"Thành phố Hồ Chí Minh",
1,"Thành phố Hà Nội",
35,"Tỉnh Hà Nam",
31,"Thành phố Hải Phòng",
27,"Tỉnh Bắc Ninh",
77,"Tỉnh Bà Rịa - Vũng Tàu",
48,"Thành phố Đà Nẵng",
75,"Tỉnh Đồng Nai",
38,"Tỉnh Thanh Hoá",
82,"Tỉnh Tiền Giang",
74,"Tỉnh Bình Dương",
49,"Tỉnh Quảng Nam",
51,"Tỉnh Quảng Ngãi",
52,"Tỉnh Bình Định",
40,"Tỉnh Nghệ An",
"Không xác định"
)</f>
        <v>Tỉnh Bình Dương</v>
      </c>
      <c r="AD78" t="str">
        <f t="shared" si="9"/>
        <v>78.44%</v>
      </c>
      <c r="AE78" t="s">
        <v>655</v>
      </c>
      <c r="AF78" s="8">
        <f t="shared" si="10"/>
        <v>45894</v>
      </c>
      <c r="AG78" s="8">
        <f>_xlfn.XLOOKUP(AE78, Dev!$A:$A, Dev!$B:$B, "")</f>
        <v>45707.436122685183</v>
      </c>
      <c r="AH78" s="11">
        <f t="shared" si="11"/>
        <v>186.56387731481664</v>
      </c>
    </row>
    <row r="79" spans="1:34" x14ac:dyDescent="0.3">
      <c r="A79" s="1">
        <v>77</v>
      </c>
      <c r="B79" t="s">
        <v>215</v>
      </c>
      <c r="C79">
        <v>320250</v>
      </c>
      <c r="D79">
        <v>256200</v>
      </c>
      <c r="E79" s="2">
        <v>45890</v>
      </c>
      <c r="F79" s="2">
        <v>45890</v>
      </c>
      <c r="G79" t="s">
        <v>92</v>
      </c>
      <c r="H79" t="s">
        <v>216</v>
      </c>
      <c r="I79" t="s">
        <v>26</v>
      </c>
      <c r="J79" s="3">
        <v>45891.631944444445</v>
      </c>
      <c r="K79">
        <f t="shared" si="7"/>
        <v>8</v>
      </c>
      <c r="L79">
        <v>2025</v>
      </c>
      <c r="M79">
        <v>2025</v>
      </c>
      <c r="N79">
        <v>2025</v>
      </c>
      <c r="O79">
        <v>2025</v>
      </c>
      <c r="P79" t="s">
        <v>27</v>
      </c>
      <c r="Q79" t="s">
        <v>28</v>
      </c>
      <c r="R79" s="2">
        <v>45609</v>
      </c>
      <c r="S79">
        <v>0</v>
      </c>
      <c r="T79" t="s">
        <v>29</v>
      </c>
      <c r="U79" t="s">
        <v>40</v>
      </c>
      <c r="V79" t="s">
        <v>31</v>
      </c>
      <c r="W79" t="s">
        <v>474</v>
      </c>
      <c r="X79" t="s">
        <v>41</v>
      </c>
      <c r="Y79" t="s">
        <v>33</v>
      </c>
      <c r="Z79" t="str">
        <f t="shared" si="8"/>
        <v>0-6</v>
      </c>
      <c r="AA79" t="s">
        <v>565</v>
      </c>
      <c r="AB79">
        <v>75</v>
      </c>
      <c r="AC79" t="str" cm="1">
        <f t="array" ref="AC79">_xlfn.SWITCH(AB79,
79,"Thành phố Hồ Chí Minh",
1,"Thành phố Hà Nội",
35,"Tỉnh Hà Nam",
31,"Thành phố Hải Phòng",
27,"Tỉnh Bắc Ninh",
77,"Tỉnh Bà Rịa - Vũng Tàu",
48,"Thành phố Đà Nẵng",
75,"Tỉnh Đồng Nai",
38,"Tỉnh Thanh Hoá",
82,"Tỉnh Tiền Giang",
74,"Tỉnh Bình Dương",
49,"Tỉnh Quảng Nam",
51,"Tỉnh Quảng Ngãi",
52,"Tỉnh Bình Định",
40,"Tỉnh Nghệ An",
"Không xác định"
)</f>
        <v>Tỉnh Đồng Nai</v>
      </c>
      <c r="AD79" t="str">
        <f t="shared" si="9"/>
        <v>80%</v>
      </c>
      <c r="AE79" t="s">
        <v>646</v>
      </c>
      <c r="AF79" s="8">
        <f t="shared" si="10"/>
        <v>45891</v>
      </c>
      <c r="AG79" s="8">
        <f>_xlfn.XLOOKUP(AE79, Dev!$A:$A, Dev!$B:$B, "")</f>
        <v>45729.416770833333</v>
      </c>
      <c r="AH79" s="11">
        <f t="shared" si="11"/>
        <v>161.58322916666657</v>
      </c>
    </row>
    <row r="80" spans="1:34" x14ac:dyDescent="0.3">
      <c r="A80" s="1">
        <v>78</v>
      </c>
      <c r="B80" t="s">
        <v>217</v>
      </c>
      <c r="C80">
        <v>550200</v>
      </c>
      <c r="D80">
        <v>440160</v>
      </c>
      <c r="E80" s="2">
        <v>45890</v>
      </c>
      <c r="G80" t="s">
        <v>218</v>
      </c>
      <c r="H80" t="s">
        <v>219</v>
      </c>
      <c r="I80" t="s">
        <v>26</v>
      </c>
      <c r="J80" s="3">
        <v>45890.682638888888</v>
      </c>
      <c r="K80">
        <f t="shared" si="7"/>
        <v>8</v>
      </c>
      <c r="L80">
        <v>2025</v>
      </c>
      <c r="M80">
        <v>2025</v>
      </c>
      <c r="N80">
        <v>2025</v>
      </c>
      <c r="O80">
        <v>2025</v>
      </c>
      <c r="P80" t="s">
        <v>27</v>
      </c>
      <c r="Q80" t="s">
        <v>28</v>
      </c>
      <c r="R80" s="2">
        <v>45266</v>
      </c>
      <c r="S80">
        <v>1</v>
      </c>
      <c r="T80" t="s">
        <v>29</v>
      </c>
      <c r="U80" t="s">
        <v>40</v>
      </c>
      <c r="V80" t="s">
        <v>31</v>
      </c>
      <c r="W80" t="s">
        <v>82</v>
      </c>
      <c r="X80" t="s">
        <v>32</v>
      </c>
      <c r="Y80" t="s">
        <v>33</v>
      </c>
      <c r="Z80" t="str">
        <f t="shared" si="8"/>
        <v>0-6</v>
      </c>
      <c r="AA80" t="s">
        <v>553</v>
      </c>
      <c r="AB80">
        <v>1</v>
      </c>
      <c r="AC80" t="str" cm="1">
        <f t="array" ref="AC80">_xlfn.SWITCH(AB80,
79,"Thành phố Hồ Chí Minh",
1,"Thành phố Hà Nội",
35,"Tỉnh Hà Nam",
31,"Thành phố Hải Phòng",
27,"Tỉnh Bắc Ninh",
77,"Tỉnh Bà Rịa - Vũng Tàu",
48,"Thành phố Đà Nẵng",
75,"Tỉnh Đồng Nai",
38,"Tỉnh Thanh Hoá",
82,"Tỉnh Tiền Giang",
74,"Tỉnh Bình Dương",
49,"Tỉnh Quảng Nam",
51,"Tỉnh Quảng Ngãi",
52,"Tỉnh Bình Định",
40,"Tỉnh Nghệ An",
"Không xác định"
)</f>
        <v>Thành phố Hà Nội</v>
      </c>
      <c r="AD80" t="str">
        <f t="shared" si="9"/>
        <v>80%</v>
      </c>
      <c r="AE80" t="s">
        <v>634</v>
      </c>
      <c r="AF80" s="8">
        <f t="shared" si="10"/>
        <v>45890</v>
      </c>
      <c r="AG80" s="8">
        <f>_xlfn.XLOOKUP(AE80, Dev!$A:$A, Dev!$B:$B, "")</f>
        <v>45812.63957175926</v>
      </c>
      <c r="AH80" s="11">
        <f t="shared" si="11"/>
        <v>77.360428240739566</v>
      </c>
    </row>
    <row r="81" spans="1:34" x14ac:dyDescent="0.3">
      <c r="A81" s="1">
        <v>79</v>
      </c>
      <c r="B81" t="s">
        <v>220</v>
      </c>
      <c r="C81">
        <v>1753579</v>
      </c>
      <c r="D81">
        <v>610379</v>
      </c>
      <c r="E81" s="2">
        <v>45851</v>
      </c>
      <c r="F81" s="2">
        <v>45851</v>
      </c>
      <c r="G81" t="s">
        <v>221</v>
      </c>
      <c r="H81" t="s">
        <v>222</v>
      </c>
      <c r="I81" t="s">
        <v>26</v>
      </c>
      <c r="J81" s="3">
        <v>45890.495833333334</v>
      </c>
      <c r="K81">
        <f t="shared" si="7"/>
        <v>8</v>
      </c>
      <c r="L81">
        <v>2025</v>
      </c>
      <c r="M81">
        <v>2025</v>
      </c>
      <c r="N81">
        <v>2025</v>
      </c>
      <c r="O81">
        <v>2025</v>
      </c>
      <c r="P81" t="s">
        <v>27</v>
      </c>
      <c r="Q81" t="s">
        <v>28</v>
      </c>
      <c r="R81" s="2">
        <v>45544</v>
      </c>
      <c r="S81">
        <v>1</v>
      </c>
      <c r="T81" t="s">
        <v>29</v>
      </c>
      <c r="U81" t="s">
        <v>30</v>
      </c>
      <c r="V81" t="s">
        <v>31</v>
      </c>
      <c r="W81" t="s">
        <v>222</v>
      </c>
      <c r="X81" t="s">
        <v>36</v>
      </c>
      <c r="Y81" t="s">
        <v>33</v>
      </c>
      <c r="Z81" t="str">
        <f t="shared" si="8"/>
        <v>0-6</v>
      </c>
      <c r="AA81" t="s">
        <v>578</v>
      </c>
      <c r="AB81">
        <v>1</v>
      </c>
      <c r="AC81" t="str" cm="1">
        <f t="array" ref="AC81">_xlfn.SWITCH(AB81,
79,"Thành phố Hồ Chí Minh",
1,"Thành phố Hà Nội",
35,"Tỉnh Hà Nam",
31,"Thành phố Hải Phòng",
27,"Tỉnh Bắc Ninh",
77,"Tỉnh Bà Rịa - Vũng Tàu",
48,"Thành phố Đà Nẵng",
75,"Tỉnh Đồng Nai",
38,"Tỉnh Thanh Hoá",
82,"Tỉnh Tiền Giang",
74,"Tỉnh Bình Dương",
49,"Tỉnh Quảng Nam",
51,"Tỉnh Quảng Ngãi",
52,"Tỉnh Bình Định",
40,"Tỉnh Nghệ An",
"Không xác định"
)</f>
        <v>Thành phố Hà Nội</v>
      </c>
      <c r="AD81" t="str">
        <f t="shared" si="9"/>
        <v>34.81%</v>
      </c>
      <c r="AE81" t="s">
        <v>659</v>
      </c>
      <c r="AF81" s="8">
        <f t="shared" si="10"/>
        <v>45890</v>
      </c>
      <c r="AG81" s="8">
        <f>_xlfn.XLOOKUP(AE81, Dev!$A:$A, Dev!$B:$B, "")</f>
        <v>45600.475682870368</v>
      </c>
      <c r="AH81" s="11">
        <f t="shared" si="11"/>
        <v>289.52431712963153</v>
      </c>
    </row>
    <row r="82" spans="1:34" x14ac:dyDescent="0.3">
      <c r="A82" s="1">
        <v>80</v>
      </c>
      <c r="B82" t="s">
        <v>223</v>
      </c>
      <c r="C82">
        <v>623800</v>
      </c>
      <c r="D82">
        <v>499040</v>
      </c>
      <c r="E82" s="2">
        <v>45889</v>
      </c>
      <c r="F82" s="2">
        <v>45889</v>
      </c>
      <c r="G82" t="s">
        <v>89</v>
      </c>
      <c r="H82" t="s">
        <v>224</v>
      </c>
      <c r="I82" t="s">
        <v>26</v>
      </c>
      <c r="J82" s="3">
        <v>45890.398611111108</v>
      </c>
      <c r="K82">
        <f t="shared" si="7"/>
        <v>8</v>
      </c>
      <c r="L82">
        <v>2025</v>
      </c>
      <c r="M82">
        <v>2025</v>
      </c>
      <c r="N82">
        <v>2025</v>
      </c>
      <c r="O82">
        <v>2025</v>
      </c>
      <c r="P82" t="s">
        <v>27</v>
      </c>
      <c r="Q82" t="s">
        <v>28</v>
      </c>
      <c r="R82" s="2">
        <v>45330</v>
      </c>
      <c r="S82">
        <v>1</v>
      </c>
      <c r="T82" t="s">
        <v>29</v>
      </c>
      <c r="U82" t="s">
        <v>30</v>
      </c>
      <c r="V82" t="s">
        <v>31</v>
      </c>
      <c r="W82" t="s">
        <v>475</v>
      </c>
      <c r="X82" t="s">
        <v>41</v>
      </c>
      <c r="Y82" t="s">
        <v>33</v>
      </c>
      <c r="Z82" t="str">
        <f t="shared" si="8"/>
        <v>0-6</v>
      </c>
      <c r="AA82" t="s">
        <v>550</v>
      </c>
      <c r="AB82">
        <v>77</v>
      </c>
      <c r="AC82" t="str" cm="1">
        <f t="array" ref="AC82">_xlfn.SWITCH(AB82,
79,"Thành phố Hồ Chí Minh",
1,"Thành phố Hà Nội",
35,"Tỉnh Hà Nam",
31,"Thành phố Hải Phòng",
27,"Tỉnh Bắc Ninh",
77,"Tỉnh Bà Rịa - Vũng Tàu",
48,"Thành phố Đà Nẵng",
75,"Tỉnh Đồng Nai",
38,"Tỉnh Thanh Hoá",
82,"Tỉnh Tiền Giang",
74,"Tỉnh Bình Dương",
49,"Tỉnh Quảng Nam",
51,"Tỉnh Quảng Ngãi",
52,"Tỉnh Bình Định",
40,"Tỉnh Nghệ An",
"Không xác định"
)</f>
        <v>Tỉnh Bà Rịa - Vũng Tàu</v>
      </c>
      <c r="AD82" t="str">
        <f t="shared" si="9"/>
        <v>80%</v>
      </c>
      <c r="AE82" t="s">
        <v>631</v>
      </c>
      <c r="AF82" s="8">
        <f t="shared" si="10"/>
        <v>45890</v>
      </c>
      <c r="AG82" s="8">
        <f>_xlfn.XLOOKUP(AE82, Dev!$A:$A, Dev!$B:$B, "")</f>
        <v>45717.561261574076</v>
      </c>
      <c r="AH82" s="11">
        <f t="shared" si="11"/>
        <v>172.43873842592438</v>
      </c>
    </row>
    <row r="83" spans="1:34" x14ac:dyDescent="0.3">
      <c r="A83" s="1">
        <v>81</v>
      </c>
      <c r="B83" t="s">
        <v>225</v>
      </c>
      <c r="C83">
        <v>16575315</v>
      </c>
      <c r="D83">
        <v>13388955</v>
      </c>
      <c r="E83" s="2">
        <v>45874</v>
      </c>
      <c r="F83" s="2">
        <v>45880</v>
      </c>
      <c r="G83" t="s">
        <v>38</v>
      </c>
      <c r="H83" t="s">
        <v>226</v>
      </c>
      <c r="I83" t="s">
        <v>26</v>
      </c>
      <c r="J83" s="3">
        <v>45889.887499999997</v>
      </c>
      <c r="K83">
        <f t="shared" si="7"/>
        <v>8</v>
      </c>
      <c r="L83">
        <v>2025</v>
      </c>
      <c r="M83">
        <v>2025</v>
      </c>
      <c r="N83">
        <v>2025</v>
      </c>
      <c r="O83">
        <v>2025</v>
      </c>
      <c r="P83" t="s">
        <v>27</v>
      </c>
      <c r="Q83" t="s">
        <v>28</v>
      </c>
      <c r="R83" s="2">
        <v>45161</v>
      </c>
      <c r="S83">
        <v>2</v>
      </c>
      <c r="T83" t="s">
        <v>29</v>
      </c>
      <c r="U83" t="s">
        <v>40</v>
      </c>
      <c r="V83" t="s">
        <v>70</v>
      </c>
      <c r="W83" t="s">
        <v>476</v>
      </c>
      <c r="X83" t="s">
        <v>32</v>
      </c>
      <c r="Y83" t="s">
        <v>33</v>
      </c>
      <c r="Z83" t="str">
        <f t="shared" si="8"/>
        <v>0-6</v>
      </c>
      <c r="AA83" t="s">
        <v>579</v>
      </c>
      <c r="AB83">
        <v>33</v>
      </c>
      <c r="AC83" t="str" cm="1">
        <f t="array" ref="AC83">_xlfn.SWITCH(AB83,
79,"Thành phố Hồ Chí Minh",
1,"Thành phố Hà Nội",
35,"Tỉnh Hà Nam",
31,"Thành phố Hải Phòng",
27,"Tỉnh Bắc Ninh",
77,"Tỉnh Bà Rịa - Vũng Tàu",
48,"Thành phố Đà Nẵng",
75,"Tỉnh Đồng Nai",
38,"Tỉnh Thanh Hoá",
82,"Tỉnh Tiền Giang",
74,"Tỉnh Bình Dương",
49,"Tỉnh Quảng Nam",
51,"Tỉnh Quảng Ngãi",
52,"Tỉnh Bình Định",
40,"Tỉnh Nghệ An",
"Không xác định"
)</f>
        <v>Không xác định</v>
      </c>
      <c r="AD83" t="str">
        <f t="shared" si="9"/>
        <v>80.78%</v>
      </c>
      <c r="AE83" t="s">
        <v>660</v>
      </c>
      <c r="AF83" s="8">
        <f t="shared" si="10"/>
        <v>45889</v>
      </c>
      <c r="AG83" s="8">
        <f>_xlfn.XLOOKUP(AE83, Dev!$A:$A, Dev!$B:$B, "")</f>
        <v>45710.396064814813</v>
      </c>
      <c r="AH83" s="11">
        <f t="shared" si="11"/>
        <v>178.60393518518686</v>
      </c>
    </row>
    <row r="84" spans="1:34" x14ac:dyDescent="0.3">
      <c r="A84" s="1">
        <v>82</v>
      </c>
      <c r="B84" t="s">
        <v>227</v>
      </c>
      <c r="C84">
        <v>1692319</v>
      </c>
      <c r="D84">
        <v>886770</v>
      </c>
      <c r="E84" s="2">
        <v>45884</v>
      </c>
      <c r="G84" t="s">
        <v>228</v>
      </c>
      <c r="H84" t="s">
        <v>229</v>
      </c>
      <c r="I84" t="s">
        <v>26</v>
      </c>
      <c r="J84" s="3">
        <v>45889.840277777781</v>
      </c>
      <c r="K84">
        <f t="shared" si="7"/>
        <v>8</v>
      </c>
      <c r="L84">
        <v>2025</v>
      </c>
      <c r="M84">
        <v>2025</v>
      </c>
      <c r="N84">
        <v>2025</v>
      </c>
      <c r="O84">
        <v>2025</v>
      </c>
      <c r="P84" t="s">
        <v>27</v>
      </c>
      <c r="Q84" t="s">
        <v>28</v>
      </c>
      <c r="R84" s="2">
        <v>45146</v>
      </c>
      <c r="S84">
        <v>2</v>
      </c>
      <c r="T84" t="s">
        <v>29</v>
      </c>
      <c r="U84" t="s">
        <v>30</v>
      </c>
      <c r="V84" t="s">
        <v>70</v>
      </c>
      <c r="W84" t="s">
        <v>477</v>
      </c>
      <c r="X84" t="s">
        <v>41</v>
      </c>
      <c r="Y84" t="s">
        <v>33</v>
      </c>
      <c r="Z84" t="str">
        <f t="shared" si="8"/>
        <v>0-6</v>
      </c>
      <c r="AA84" t="s">
        <v>580</v>
      </c>
      <c r="AB84">
        <v>49</v>
      </c>
      <c r="AC84" t="str" cm="1">
        <f t="array" ref="AC84">_xlfn.SWITCH(AB84,
79,"Thành phố Hồ Chí Minh",
1,"Thành phố Hà Nội",
35,"Tỉnh Hà Nam",
31,"Thành phố Hải Phòng",
27,"Tỉnh Bắc Ninh",
77,"Tỉnh Bà Rịa - Vũng Tàu",
48,"Thành phố Đà Nẵng",
75,"Tỉnh Đồng Nai",
38,"Tỉnh Thanh Hoá",
82,"Tỉnh Tiền Giang",
74,"Tỉnh Bình Dương",
49,"Tỉnh Quảng Nam",
51,"Tỉnh Quảng Ngãi",
52,"Tỉnh Bình Định",
40,"Tỉnh Nghệ An",
"Không xác định"
)</f>
        <v>Tỉnh Quảng Nam</v>
      </c>
      <c r="AD84" t="str">
        <f t="shared" si="9"/>
        <v>52.4%</v>
      </c>
      <c r="AE84" t="s">
        <v>661</v>
      </c>
      <c r="AF84" s="8">
        <f t="shared" si="10"/>
        <v>45889</v>
      </c>
      <c r="AG84" s="8">
        <f>_xlfn.XLOOKUP(AE84, Dev!$A:$A, Dev!$B:$B, "")</f>
        <v>45629.639224537037</v>
      </c>
      <c r="AH84" s="11">
        <f t="shared" si="11"/>
        <v>259.36077546296292</v>
      </c>
    </row>
    <row r="85" spans="1:34" x14ac:dyDescent="0.3">
      <c r="A85" s="1">
        <v>83</v>
      </c>
      <c r="B85" t="s">
        <v>230</v>
      </c>
      <c r="C85">
        <v>582450</v>
      </c>
      <c r="D85">
        <v>465960</v>
      </c>
      <c r="E85" s="2">
        <v>45887</v>
      </c>
      <c r="F85" s="2">
        <v>45887</v>
      </c>
      <c r="G85" t="s">
        <v>92</v>
      </c>
      <c r="H85" t="s">
        <v>231</v>
      </c>
      <c r="I85" t="s">
        <v>26</v>
      </c>
      <c r="J85" s="3">
        <v>45888.588194444441</v>
      </c>
      <c r="K85">
        <f t="shared" si="7"/>
        <v>8</v>
      </c>
      <c r="L85">
        <v>2025</v>
      </c>
      <c r="M85">
        <v>2025</v>
      </c>
      <c r="N85">
        <v>2025</v>
      </c>
      <c r="O85">
        <v>2025</v>
      </c>
      <c r="P85" t="s">
        <v>27</v>
      </c>
      <c r="Q85" t="s">
        <v>28</v>
      </c>
      <c r="R85" s="2">
        <v>45609</v>
      </c>
      <c r="S85">
        <v>0</v>
      </c>
      <c r="T85" t="s">
        <v>29</v>
      </c>
      <c r="U85" t="s">
        <v>40</v>
      </c>
      <c r="V85" t="s">
        <v>31</v>
      </c>
      <c r="W85" t="s">
        <v>478</v>
      </c>
      <c r="X85" t="s">
        <v>41</v>
      </c>
      <c r="Y85" t="s">
        <v>33</v>
      </c>
      <c r="Z85" t="str">
        <f t="shared" si="8"/>
        <v>0-6</v>
      </c>
      <c r="AA85" t="s">
        <v>565</v>
      </c>
      <c r="AB85">
        <v>75</v>
      </c>
      <c r="AC85" t="str" cm="1">
        <f t="array" ref="AC85">_xlfn.SWITCH(AB85,
79,"Thành phố Hồ Chí Minh",
1,"Thành phố Hà Nội",
35,"Tỉnh Hà Nam",
31,"Thành phố Hải Phòng",
27,"Tỉnh Bắc Ninh",
77,"Tỉnh Bà Rịa - Vũng Tàu",
48,"Thành phố Đà Nẵng",
75,"Tỉnh Đồng Nai",
38,"Tỉnh Thanh Hoá",
82,"Tỉnh Tiền Giang",
74,"Tỉnh Bình Dương",
49,"Tỉnh Quảng Nam",
51,"Tỉnh Quảng Ngãi",
52,"Tỉnh Bình Định",
40,"Tỉnh Nghệ An",
"Không xác định"
)</f>
        <v>Tỉnh Đồng Nai</v>
      </c>
      <c r="AD85" t="str">
        <f t="shared" si="9"/>
        <v>80%</v>
      </c>
      <c r="AE85" t="s">
        <v>646</v>
      </c>
      <c r="AF85" s="8">
        <f t="shared" si="10"/>
        <v>45888</v>
      </c>
      <c r="AG85" s="8">
        <f>_xlfn.XLOOKUP(AE85, Dev!$A:$A, Dev!$B:$B, "")</f>
        <v>45729.416770833333</v>
      </c>
      <c r="AH85" s="11">
        <f t="shared" si="11"/>
        <v>158.58322916666657</v>
      </c>
    </row>
    <row r="86" spans="1:34" x14ac:dyDescent="0.3">
      <c r="A86" s="1">
        <v>84</v>
      </c>
      <c r="B86" t="s">
        <v>232</v>
      </c>
      <c r="C86">
        <v>181500</v>
      </c>
      <c r="D86">
        <v>145200</v>
      </c>
      <c r="E86" s="2">
        <v>45856</v>
      </c>
      <c r="F86" s="2">
        <v>45856</v>
      </c>
      <c r="G86" t="s">
        <v>113</v>
      </c>
      <c r="H86" t="s">
        <v>233</v>
      </c>
      <c r="I86" t="s">
        <v>26</v>
      </c>
      <c r="J86" s="3">
        <v>45888.515972222223</v>
      </c>
      <c r="K86">
        <f t="shared" si="7"/>
        <v>8</v>
      </c>
      <c r="L86">
        <v>2025</v>
      </c>
      <c r="M86">
        <v>2025</v>
      </c>
      <c r="N86">
        <v>2025</v>
      </c>
      <c r="O86">
        <v>2025</v>
      </c>
      <c r="P86" t="s">
        <v>27</v>
      </c>
      <c r="Q86" t="s">
        <v>28</v>
      </c>
      <c r="R86" s="2">
        <v>45263</v>
      </c>
      <c r="S86">
        <v>1</v>
      </c>
      <c r="T86" t="s">
        <v>29</v>
      </c>
      <c r="U86" t="s">
        <v>30</v>
      </c>
      <c r="V86" t="s">
        <v>31</v>
      </c>
      <c r="W86" t="s">
        <v>255</v>
      </c>
      <c r="X86" t="s">
        <v>179</v>
      </c>
      <c r="Y86" t="s">
        <v>33</v>
      </c>
      <c r="Z86" t="str">
        <f t="shared" si="8"/>
        <v>0-6</v>
      </c>
      <c r="AA86" t="s">
        <v>581</v>
      </c>
      <c r="AB86">
        <v>79</v>
      </c>
      <c r="AC86" t="str" cm="1">
        <f t="array" ref="AC86">_xlfn.SWITCH(AB86,
79,"Thành phố Hồ Chí Minh",
1,"Thành phố Hà Nội",
35,"Tỉnh Hà Nam",
31,"Thành phố Hải Phòng",
27,"Tỉnh Bắc Ninh",
77,"Tỉnh Bà Rịa - Vũng Tàu",
48,"Thành phố Đà Nẵng",
75,"Tỉnh Đồng Nai",
38,"Tỉnh Thanh Hoá",
82,"Tỉnh Tiền Giang",
74,"Tỉnh Bình Dương",
49,"Tỉnh Quảng Nam",
51,"Tỉnh Quảng Ngãi",
52,"Tỉnh Bình Định",
40,"Tỉnh Nghệ An",
"Không xác định"
)</f>
        <v>Thành phố Hồ Chí Minh</v>
      </c>
      <c r="AD86" t="str">
        <f t="shared" si="9"/>
        <v>80%</v>
      </c>
      <c r="AE86" t="s">
        <v>662</v>
      </c>
      <c r="AF86" s="8">
        <f t="shared" si="10"/>
        <v>45888</v>
      </c>
      <c r="AG86" s="8">
        <f>_xlfn.XLOOKUP(AE86, Dev!$A:$A, Dev!$B:$B, "")</f>
        <v>45684.666458333333</v>
      </c>
      <c r="AH86" s="11">
        <f t="shared" si="11"/>
        <v>203.33354166666686</v>
      </c>
    </row>
    <row r="87" spans="1:34" x14ac:dyDescent="0.3">
      <c r="A87" s="1">
        <v>85</v>
      </c>
      <c r="B87" t="s">
        <v>234</v>
      </c>
      <c r="C87">
        <v>338199</v>
      </c>
      <c r="D87">
        <v>338199</v>
      </c>
      <c r="E87" s="2">
        <v>45880</v>
      </c>
      <c r="F87" s="2">
        <v>45880</v>
      </c>
      <c r="G87" t="s">
        <v>193</v>
      </c>
      <c r="H87" t="s">
        <v>235</v>
      </c>
      <c r="I87" t="s">
        <v>26</v>
      </c>
      <c r="J87" s="3">
        <v>45887.631249999999</v>
      </c>
      <c r="K87">
        <f t="shared" si="7"/>
        <v>8</v>
      </c>
      <c r="L87">
        <v>2025</v>
      </c>
      <c r="M87">
        <v>2025</v>
      </c>
      <c r="N87">
        <v>2025</v>
      </c>
      <c r="O87">
        <v>2025</v>
      </c>
      <c r="P87" t="s">
        <v>27</v>
      </c>
      <c r="Q87" t="s">
        <v>28</v>
      </c>
      <c r="R87" s="2">
        <v>45656</v>
      </c>
      <c r="S87">
        <v>0</v>
      </c>
      <c r="T87" t="s">
        <v>29</v>
      </c>
      <c r="U87" t="s">
        <v>40</v>
      </c>
      <c r="V87" t="s">
        <v>31</v>
      </c>
      <c r="W87" t="s">
        <v>64</v>
      </c>
      <c r="X87" t="s">
        <v>32</v>
      </c>
      <c r="Y87" t="s">
        <v>33</v>
      </c>
      <c r="Z87" t="str">
        <f t="shared" si="8"/>
        <v>0-6</v>
      </c>
      <c r="AA87" t="s">
        <v>573</v>
      </c>
      <c r="AB87">
        <v>82</v>
      </c>
      <c r="AC87" t="str" cm="1">
        <f t="array" ref="AC87">_xlfn.SWITCH(AB87,
79,"Thành phố Hồ Chí Minh",
1,"Thành phố Hà Nội",
35,"Tỉnh Hà Nam",
31,"Thành phố Hải Phòng",
27,"Tỉnh Bắc Ninh",
77,"Tỉnh Bà Rịa - Vũng Tàu",
48,"Thành phố Đà Nẵng",
75,"Tỉnh Đồng Nai",
38,"Tỉnh Thanh Hoá",
82,"Tỉnh Tiền Giang",
74,"Tỉnh Bình Dương",
49,"Tỉnh Quảng Nam",
51,"Tỉnh Quảng Ngãi",
52,"Tỉnh Bình Định",
40,"Tỉnh Nghệ An",
"Không xác định"
)</f>
        <v>Tỉnh Tiền Giang</v>
      </c>
      <c r="AD87" t="str">
        <f t="shared" si="9"/>
        <v>100%</v>
      </c>
      <c r="AE87" t="s">
        <v>654</v>
      </c>
      <c r="AF87" s="8">
        <f t="shared" si="10"/>
        <v>45887</v>
      </c>
      <c r="AG87" s="8">
        <f>_xlfn.XLOOKUP(AE87, Dev!$A:$A, Dev!$B:$B, "")</f>
        <v>45710.506944444445</v>
      </c>
      <c r="AH87" s="11">
        <f t="shared" si="11"/>
        <v>176.49305555555475</v>
      </c>
    </row>
    <row r="88" spans="1:34" x14ac:dyDescent="0.3">
      <c r="A88" s="1">
        <v>86</v>
      </c>
      <c r="B88" t="s">
        <v>236</v>
      </c>
      <c r="C88">
        <v>576859</v>
      </c>
      <c r="D88">
        <v>426859</v>
      </c>
      <c r="E88" s="2">
        <v>45880</v>
      </c>
      <c r="F88" s="2">
        <v>45880</v>
      </c>
      <c r="G88" t="s">
        <v>193</v>
      </c>
      <c r="H88" t="s">
        <v>237</v>
      </c>
      <c r="I88" t="s">
        <v>26</v>
      </c>
      <c r="J88" s="3">
        <v>45887.629861111112</v>
      </c>
      <c r="K88">
        <f t="shared" si="7"/>
        <v>8</v>
      </c>
      <c r="L88">
        <v>2025</v>
      </c>
      <c r="M88">
        <v>2025</v>
      </c>
      <c r="N88">
        <v>2025</v>
      </c>
      <c r="O88">
        <v>2025</v>
      </c>
      <c r="P88" t="s">
        <v>27</v>
      </c>
      <c r="Q88" t="s">
        <v>28</v>
      </c>
      <c r="R88" s="2">
        <v>45656</v>
      </c>
      <c r="S88">
        <v>0</v>
      </c>
      <c r="T88" t="s">
        <v>29</v>
      </c>
      <c r="U88" t="s">
        <v>40</v>
      </c>
      <c r="V88" t="s">
        <v>31</v>
      </c>
      <c r="W88" t="s">
        <v>237</v>
      </c>
      <c r="X88" t="s">
        <v>41</v>
      </c>
      <c r="Y88" t="s">
        <v>33</v>
      </c>
      <c r="Z88" t="str">
        <f t="shared" si="8"/>
        <v>0-6</v>
      </c>
      <c r="AA88" t="s">
        <v>575</v>
      </c>
      <c r="AB88">
        <v>82</v>
      </c>
      <c r="AC88" t="str" cm="1">
        <f t="array" ref="AC88">_xlfn.SWITCH(AB88,
79,"Thành phố Hồ Chí Minh",
1,"Thành phố Hà Nội",
35,"Tỉnh Hà Nam",
31,"Thành phố Hải Phòng",
27,"Tỉnh Bắc Ninh",
77,"Tỉnh Bà Rịa - Vũng Tàu",
48,"Thành phố Đà Nẵng",
75,"Tỉnh Đồng Nai",
38,"Tỉnh Thanh Hoá",
82,"Tỉnh Tiền Giang",
74,"Tỉnh Bình Dương",
49,"Tỉnh Quảng Nam",
51,"Tỉnh Quảng Ngãi",
52,"Tỉnh Bình Định",
40,"Tỉnh Nghệ An",
"Không xác định"
)</f>
        <v>Tỉnh Tiền Giang</v>
      </c>
      <c r="AD88" t="str">
        <f t="shared" si="9"/>
        <v>74%</v>
      </c>
      <c r="AE88" t="s">
        <v>656</v>
      </c>
      <c r="AF88" s="8">
        <f t="shared" si="10"/>
        <v>45887</v>
      </c>
      <c r="AG88" s="8">
        <f>_xlfn.XLOOKUP(AE88, Dev!$A:$A, Dev!$B:$B, "")</f>
        <v>45710.518067129633</v>
      </c>
      <c r="AH88" s="11">
        <f t="shared" si="11"/>
        <v>176.48193287036702</v>
      </c>
    </row>
    <row r="89" spans="1:34" x14ac:dyDescent="0.3">
      <c r="A89" s="1">
        <v>87</v>
      </c>
      <c r="B89" t="s">
        <v>238</v>
      </c>
      <c r="C89">
        <v>787000</v>
      </c>
      <c r="D89">
        <v>787000</v>
      </c>
      <c r="E89" s="2">
        <v>45885</v>
      </c>
      <c r="F89" s="2">
        <v>45885</v>
      </c>
      <c r="G89" t="s">
        <v>45</v>
      </c>
      <c r="H89" t="s">
        <v>239</v>
      </c>
      <c r="I89" t="s">
        <v>26</v>
      </c>
      <c r="J89" s="3">
        <v>45886.96875</v>
      </c>
      <c r="K89">
        <f t="shared" si="7"/>
        <v>8</v>
      </c>
      <c r="L89">
        <v>2025</v>
      </c>
      <c r="M89">
        <v>2025</v>
      </c>
      <c r="N89">
        <v>2025</v>
      </c>
      <c r="O89">
        <v>2025</v>
      </c>
      <c r="P89" t="s">
        <v>27</v>
      </c>
      <c r="Q89" t="s">
        <v>28</v>
      </c>
      <c r="R89" s="2">
        <v>45541</v>
      </c>
      <c r="S89">
        <v>1</v>
      </c>
      <c r="T89" t="s">
        <v>29</v>
      </c>
      <c r="U89" t="s">
        <v>30</v>
      </c>
      <c r="V89" t="s">
        <v>31</v>
      </c>
      <c r="W89" t="s">
        <v>479</v>
      </c>
      <c r="X89" t="s">
        <v>41</v>
      </c>
      <c r="Y89" t="s">
        <v>33</v>
      </c>
      <c r="Z89" t="str">
        <f t="shared" si="8"/>
        <v>0-6</v>
      </c>
      <c r="AA89" t="s">
        <v>582</v>
      </c>
      <c r="AB89">
        <v>1</v>
      </c>
      <c r="AC89" t="str" cm="1">
        <f t="array" ref="AC89">_xlfn.SWITCH(AB89,
79,"Thành phố Hồ Chí Minh",
1,"Thành phố Hà Nội",
35,"Tỉnh Hà Nam",
31,"Thành phố Hải Phòng",
27,"Tỉnh Bắc Ninh",
77,"Tỉnh Bà Rịa - Vũng Tàu",
48,"Thành phố Đà Nẵng",
75,"Tỉnh Đồng Nai",
38,"Tỉnh Thanh Hoá",
82,"Tỉnh Tiền Giang",
74,"Tỉnh Bình Dương",
49,"Tỉnh Quảng Nam",
51,"Tỉnh Quảng Ngãi",
52,"Tỉnh Bình Định",
40,"Tỉnh Nghệ An",
"Không xác định"
)</f>
        <v>Thành phố Hà Nội</v>
      </c>
      <c r="AD89" t="str">
        <f t="shared" si="9"/>
        <v>100%</v>
      </c>
      <c r="AE89" t="s">
        <v>663</v>
      </c>
      <c r="AF89" s="8">
        <f t="shared" si="10"/>
        <v>45886</v>
      </c>
      <c r="AG89" s="8">
        <f>_xlfn.XLOOKUP(AE89, Dev!$A:$A, Dev!$B:$B, "")</f>
        <v>45590.628159722219</v>
      </c>
      <c r="AH89" s="11">
        <f t="shared" si="11"/>
        <v>295.3718402777813</v>
      </c>
    </row>
    <row r="90" spans="1:34" x14ac:dyDescent="0.3">
      <c r="A90" s="1">
        <v>88</v>
      </c>
      <c r="B90" t="s">
        <v>240</v>
      </c>
      <c r="C90">
        <v>455000</v>
      </c>
      <c r="D90">
        <v>104000</v>
      </c>
      <c r="E90" s="2">
        <v>45881</v>
      </c>
      <c r="F90" s="2">
        <v>45881</v>
      </c>
      <c r="G90" t="s">
        <v>75</v>
      </c>
      <c r="H90" t="s">
        <v>241</v>
      </c>
      <c r="I90" t="s">
        <v>26</v>
      </c>
      <c r="J90" s="3">
        <v>45884.788888888892</v>
      </c>
      <c r="K90">
        <f t="shared" si="7"/>
        <v>8</v>
      </c>
      <c r="L90">
        <v>2025</v>
      </c>
      <c r="M90">
        <v>2025</v>
      </c>
      <c r="N90">
        <v>2025</v>
      </c>
      <c r="O90">
        <v>2025</v>
      </c>
      <c r="P90" t="s">
        <v>27</v>
      </c>
      <c r="Q90" t="s">
        <v>28</v>
      </c>
      <c r="R90" s="2">
        <v>45487</v>
      </c>
      <c r="S90">
        <v>1</v>
      </c>
      <c r="T90" t="s">
        <v>29</v>
      </c>
      <c r="U90" t="s">
        <v>40</v>
      </c>
      <c r="V90" t="s">
        <v>31</v>
      </c>
      <c r="W90" t="s">
        <v>480</v>
      </c>
      <c r="X90" t="s">
        <v>36</v>
      </c>
      <c r="Y90" t="s">
        <v>33</v>
      </c>
      <c r="Z90" t="str">
        <f t="shared" si="8"/>
        <v>0-6</v>
      </c>
      <c r="AA90" t="s">
        <v>545</v>
      </c>
      <c r="AB90">
        <v>27</v>
      </c>
      <c r="AC90" t="str" cm="1">
        <f t="array" ref="AC90">_xlfn.SWITCH(AB90,
79,"Thành phố Hồ Chí Minh",
1,"Thành phố Hà Nội",
35,"Tỉnh Hà Nam",
31,"Thành phố Hải Phòng",
27,"Tỉnh Bắc Ninh",
77,"Tỉnh Bà Rịa - Vũng Tàu",
48,"Thành phố Đà Nẵng",
75,"Tỉnh Đồng Nai",
38,"Tỉnh Thanh Hoá",
82,"Tỉnh Tiền Giang",
74,"Tỉnh Bình Dương",
49,"Tỉnh Quảng Nam",
51,"Tỉnh Quảng Ngãi",
52,"Tỉnh Bình Định",
40,"Tỉnh Nghệ An",
"Không xác định"
)</f>
        <v>Tỉnh Bắc Ninh</v>
      </c>
      <c r="AD90" t="str">
        <f t="shared" si="9"/>
        <v>22.86%</v>
      </c>
      <c r="AE90" t="s">
        <v>626</v>
      </c>
      <c r="AF90" s="8">
        <f t="shared" si="10"/>
        <v>45884</v>
      </c>
      <c r="AG90" s="8">
        <f>_xlfn.XLOOKUP(AE90, Dev!$A:$A, Dev!$B:$B, "")</f>
        <v>45748.820972222224</v>
      </c>
      <c r="AH90" s="11">
        <f t="shared" si="11"/>
        <v>135.17902777777635</v>
      </c>
    </row>
    <row r="91" spans="1:34" x14ac:dyDescent="0.3">
      <c r="A91" s="1">
        <v>89</v>
      </c>
      <c r="B91" t="s">
        <v>242</v>
      </c>
      <c r="C91">
        <v>204500</v>
      </c>
      <c r="D91">
        <v>96400</v>
      </c>
      <c r="E91" s="2">
        <v>45879</v>
      </c>
      <c r="F91" s="2">
        <v>45879</v>
      </c>
      <c r="G91" t="s">
        <v>113</v>
      </c>
      <c r="H91" t="s">
        <v>243</v>
      </c>
      <c r="I91" t="s">
        <v>26</v>
      </c>
      <c r="J91" s="3">
        <v>45882.57916666667</v>
      </c>
      <c r="K91">
        <f t="shared" si="7"/>
        <v>8</v>
      </c>
      <c r="L91">
        <v>2025</v>
      </c>
      <c r="M91">
        <v>2025</v>
      </c>
      <c r="N91">
        <v>2025</v>
      </c>
      <c r="O91">
        <v>2025</v>
      </c>
      <c r="P91" t="s">
        <v>27</v>
      </c>
      <c r="Q91" t="s">
        <v>28</v>
      </c>
      <c r="R91" s="2">
        <v>44269</v>
      </c>
      <c r="S91">
        <v>4</v>
      </c>
      <c r="T91" t="s">
        <v>29</v>
      </c>
      <c r="U91" t="s">
        <v>40</v>
      </c>
      <c r="V91" t="s">
        <v>31</v>
      </c>
      <c r="W91" t="s">
        <v>481</v>
      </c>
      <c r="X91" t="s">
        <v>32</v>
      </c>
      <c r="Y91" t="s">
        <v>33</v>
      </c>
      <c r="Z91" t="str">
        <f t="shared" si="8"/>
        <v>0-6</v>
      </c>
      <c r="AA91" t="s">
        <v>539</v>
      </c>
      <c r="AB91">
        <v>79</v>
      </c>
      <c r="AC91" t="str" cm="1">
        <f t="array" ref="AC91">_xlfn.SWITCH(AB91,
79,"Thành phố Hồ Chí Minh",
1,"Thành phố Hà Nội",
35,"Tỉnh Hà Nam",
31,"Thành phố Hải Phòng",
27,"Tỉnh Bắc Ninh",
77,"Tỉnh Bà Rịa - Vũng Tàu",
48,"Thành phố Đà Nẵng",
75,"Tỉnh Đồng Nai",
38,"Tỉnh Thanh Hoá",
82,"Tỉnh Tiền Giang",
74,"Tỉnh Bình Dương",
49,"Tỉnh Quảng Nam",
51,"Tỉnh Quảng Ngãi",
52,"Tỉnh Bình Định",
40,"Tỉnh Nghệ An",
"Không xác định"
)</f>
        <v>Thành phố Hồ Chí Minh</v>
      </c>
      <c r="AD91" t="str">
        <f t="shared" si="9"/>
        <v>47.14%</v>
      </c>
      <c r="AE91" t="s">
        <v>620</v>
      </c>
      <c r="AF91" s="8">
        <f t="shared" si="10"/>
        <v>45882</v>
      </c>
      <c r="AG91" s="8">
        <f>_xlfn.XLOOKUP(AE91, Dev!$A:$A, Dev!$B:$B, "")</f>
        <v>45689</v>
      </c>
      <c r="AH91" s="11">
        <f t="shared" si="11"/>
        <v>193</v>
      </c>
    </row>
    <row r="92" spans="1:34" x14ac:dyDescent="0.3">
      <c r="A92" s="1">
        <v>90</v>
      </c>
      <c r="B92" t="s">
        <v>244</v>
      </c>
      <c r="C92">
        <v>370000</v>
      </c>
      <c r="D92">
        <v>296000</v>
      </c>
      <c r="E92" s="2">
        <v>45877</v>
      </c>
      <c r="F92" s="2">
        <v>45877</v>
      </c>
      <c r="G92" t="s">
        <v>113</v>
      </c>
      <c r="H92" t="s">
        <v>245</v>
      </c>
      <c r="I92" t="s">
        <v>26</v>
      </c>
      <c r="J92" s="3">
        <v>45882.576388888891</v>
      </c>
      <c r="K92">
        <f t="shared" si="7"/>
        <v>8</v>
      </c>
      <c r="L92">
        <v>2025</v>
      </c>
      <c r="M92">
        <v>2025</v>
      </c>
      <c r="N92">
        <v>2025</v>
      </c>
      <c r="O92">
        <v>2025</v>
      </c>
      <c r="P92" t="s">
        <v>27</v>
      </c>
      <c r="Q92" t="s">
        <v>28</v>
      </c>
      <c r="R92" s="2">
        <v>44269</v>
      </c>
      <c r="S92">
        <v>4</v>
      </c>
      <c r="T92" t="s">
        <v>29</v>
      </c>
      <c r="U92" t="s">
        <v>40</v>
      </c>
      <c r="V92" t="s">
        <v>31</v>
      </c>
      <c r="W92" t="s">
        <v>482</v>
      </c>
      <c r="X92" t="s">
        <v>32</v>
      </c>
      <c r="Y92" t="s">
        <v>33</v>
      </c>
      <c r="Z92" t="str">
        <f t="shared" si="8"/>
        <v>0-6</v>
      </c>
      <c r="AA92" t="s">
        <v>539</v>
      </c>
      <c r="AB92">
        <v>79</v>
      </c>
      <c r="AC92" t="str" cm="1">
        <f t="array" ref="AC92">_xlfn.SWITCH(AB92,
79,"Thành phố Hồ Chí Minh",
1,"Thành phố Hà Nội",
35,"Tỉnh Hà Nam",
31,"Thành phố Hải Phòng",
27,"Tỉnh Bắc Ninh",
77,"Tỉnh Bà Rịa - Vũng Tàu",
48,"Thành phố Đà Nẵng",
75,"Tỉnh Đồng Nai",
38,"Tỉnh Thanh Hoá",
82,"Tỉnh Tiền Giang",
74,"Tỉnh Bình Dương",
49,"Tỉnh Quảng Nam",
51,"Tỉnh Quảng Ngãi",
52,"Tỉnh Bình Định",
40,"Tỉnh Nghệ An",
"Không xác định"
)</f>
        <v>Thành phố Hồ Chí Minh</v>
      </c>
      <c r="AD92" t="str">
        <f t="shared" si="9"/>
        <v>80%</v>
      </c>
      <c r="AE92" t="s">
        <v>620</v>
      </c>
      <c r="AF92" s="8">
        <f t="shared" si="10"/>
        <v>45882</v>
      </c>
      <c r="AG92" s="8">
        <f>_xlfn.XLOOKUP(AE92, Dev!$A:$A, Dev!$B:$B, "")</f>
        <v>45689</v>
      </c>
      <c r="AH92" s="11">
        <f t="shared" si="11"/>
        <v>193</v>
      </c>
    </row>
    <row r="93" spans="1:34" x14ac:dyDescent="0.3">
      <c r="A93" s="1">
        <v>91</v>
      </c>
      <c r="B93" t="s">
        <v>246</v>
      </c>
      <c r="C93">
        <v>427346</v>
      </c>
      <c r="D93">
        <v>427346</v>
      </c>
      <c r="E93" s="2">
        <v>45877</v>
      </c>
      <c r="F93" s="2">
        <v>45877</v>
      </c>
      <c r="G93" t="s">
        <v>193</v>
      </c>
      <c r="H93" t="s">
        <v>194</v>
      </c>
      <c r="I93" t="s">
        <v>26</v>
      </c>
      <c r="J93" s="3">
        <v>45881.84652777778</v>
      </c>
      <c r="K93">
        <f t="shared" si="7"/>
        <v>8</v>
      </c>
      <c r="L93">
        <v>2025</v>
      </c>
      <c r="M93">
        <v>2025</v>
      </c>
      <c r="N93">
        <v>2025</v>
      </c>
      <c r="O93">
        <v>2025</v>
      </c>
      <c r="P93" t="s">
        <v>27</v>
      </c>
      <c r="Q93" t="s">
        <v>28</v>
      </c>
      <c r="R93" s="2">
        <v>45656</v>
      </c>
      <c r="S93">
        <v>0</v>
      </c>
      <c r="T93" t="s">
        <v>29</v>
      </c>
      <c r="U93" t="s">
        <v>40</v>
      </c>
      <c r="V93" t="s">
        <v>31</v>
      </c>
      <c r="W93" t="s">
        <v>73</v>
      </c>
      <c r="X93" t="s">
        <v>41</v>
      </c>
      <c r="Y93" t="s">
        <v>33</v>
      </c>
      <c r="Z93" t="str">
        <f t="shared" si="8"/>
        <v>0-6</v>
      </c>
      <c r="AA93" t="s">
        <v>575</v>
      </c>
      <c r="AB93">
        <v>82</v>
      </c>
      <c r="AC93" t="str" cm="1">
        <f t="array" ref="AC93">_xlfn.SWITCH(AB93,
79,"Thành phố Hồ Chí Minh",
1,"Thành phố Hà Nội",
35,"Tỉnh Hà Nam",
31,"Thành phố Hải Phòng",
27,"Tỉnh Bắc Ninh",
77,"Tỉnh Bà Rịa - Vũng Tàu",
48,"Thành phố Đà Nẵng",
75,"Tỉnh Đồng Nai",
38,"Tỉnh Thanh Hoá",
82,"Tỉnh Tiền Giang",
74,"Tỉnh Bình Dương",
49,"Tỉnh Quảng Nam",
51,"Tỉnh Quảng Ngãi",
52,"Tỉnh Bình Định",
40,"Tỉnh Nghệ An",
"Không xác định"
)</f>
        <v>Tỉnh Tiền Giang</v>
      </c>
      <c r="AD93" t="str">
        <f t="shared" si="9"/>
        <v>100%</v>
      </c>
      <c r="AE93" t="s">
        <v>656</v>
      </c>
      <c r="AF93" s="8">
        <f t="shared" si="10"/>
        <v>45881</v>
      </c>
      <c r="AG93" s="8">
        <f>_xlfn.XLOOKUP(AE93, Dev!$A:$A, Dev!$B:$B, "")</f>
        <v>45710.518067129633</v>
      </c>
      <c r="AH93" s="11">
        <f t="shared" si="11"/>
        <v>170.48193287036702</v>
      </c>
    </row>
    <row r="94" spans="1:34" x14ac:dyDescent="0.3">
      <c r="A94" s="1">
        <v>92</v>
      </c>
      <c r="B94" t="s">
        <v>247</v>
      </c>
      <c r="C94">
        <v>895644</v>
      </c>
      <c r="D94">
        <v>692699</v>
      </c>
      <c r="E94" s="2">
        <v>45877</v>
      </c>
      <c r="F94" s="2">
        <v>45877</v>
      </c>
      <c r="G94" t="s">
        <v>193</v>
      </c>
      <c r="H94" t="s">
        <v>248</v>
      </c>
      <c r="I94" t="s">
        <v>26</v>
      </c>
      <c r="J94" s="3">
        <v>45881.844444444447</v>
      </c>
      <c r="K94">
        <f t="shared" si="7"/>
        <v>8</v>
      </c>
      <c r="L94">
        <v>2025</v>
      </c>
      <c r="M94">
        <v>2025</v>
      </c>
      <c r="N94">
        <v>2025</v>
      </c>
      <c r="O94">
        <v>2025</v>
      </c>
      <c r="P94" t="s">
        <v>27</v>
      </c>
      <c r="Q94" t="s">
        <v>28</v>
      </c>
      <c r="R94" s="2">
        <v>45656</v>
      </c>
      <c r="S94">
        <v>0</v>
      </c>
      <c r="T94" t="s">
        <v>29</v>
      </c>
      <c r="U94" t="s">
        <v>40</v>
      </c>
      <c r="V94" t="s">
        <v>31</v>
      </c>
      <c r="W94" t="s">
        <v>483</v>
      </c>
      <c r="X94" t="s">
        <v>32</v>
      </c>
      <c r="Y94" t="s">
        <v>33</v>
      </c>
      <c r="Z94" t="str">
        <f t="shared" si="8"/>
        <v>0-6</v>
      </c>
      <c r="AA94" t="s">
        <v>573</v>
      </c>
      <c r="AB94">
        <v>82</v>
      </c>
      <c r="AC94" t="str" cm="1">
        <f t="array" ref="AC94">_xlfn.SWITCH(AB94,
79,"Thành phố Hồ Chí Minh",
1,"Thành phố Hà Nội",
35,"Tỉnh Hà Nam",
31,"Thành phố Hải Phòng",
27,"Tỉnh Bắc Ninh",
77,"Tỉnh Bà Rịa - Vũng Tàu",
48,"Thành phố Đà Nẵng",
75,"Tỉnh Đồng Nai",
38,"Tỉnh Thanh Hoá",
82,"Tỉnh Tiền Giang",
74,"Tỉnh Bình Dương",
49,"Tỉnh Quảng Nam",
51,"Tỉnh Quảng Ngãi",
52,"Tỉnh Bình Định",
40,"Tỉnh Nghệ An",
"Không xác định"
)</f>
        <v>Tỉnh Tiền Giang</v>
      </c>
      <c r="AD94" t="str">
        <f t="shared" si="9"/>
        <v>77.34%</v>
      </c>
      <c r="AE94" t="s">
        <v>654</v>
      </c>
      <c r="AF94" s="8">
        <f t="shared" si="10"/>
        <v>45881</v>
      </c>
      <c r="AG94" s="8">
        <f>_xlfn.XLOOKUP(AE94, Dev!$A:$A, Dev!$B:$B, "")</f>
        <v>45710.506944444445</v>
      </c>
      <c r="AH94" s="11">
        <f t="shared" si="11"/>
        <v>170.49305555555475</v>
      </c>
    </row>
    <row r="95" spans="1:34" x14ac:dyDescent="0.3">
      <c r="A95" s="1">
        <v>93</v>
      </c>
      <c r="B95" t="s">
        <v>249</v>
      </c>
      <c r="C95">
        <v>659722</v>
      </c>
      <c r="D95">
        <v>317811</v>
      </c>
      <c r="E95" s="2">
        <v>45879</v>
      </c>
      <c r="F95" s="2">
        <v>45879</v>
      </c>
      <c r="G95" t="s">
        <v>66</v>
      </c>
      <c r="H95" t="s">
        <v>250</v>
      </c>
      <c r="I95" t="s">
        <v>26</v>
      </c>
      <c r="J95" s="3">
        <v>45881.679166666669</v>
      </c>
      <c r="K95">
        <f t="shared" si="7"/>
        <v>8</v>
      </c>
      <c r="L95">
        <v>2025</v>
      </c>
      <c r="M95">
        <v>2025</v>
      </c>
      <c r="N95">
        <v>2025</v>
      </c>
      <c r="O95">
        <v>2025</v>
      </c>
      <c r="P95" t="s">
        <v>27</v>
      </c>
      <c r="Q95" t="s">
        <v>28</v>
      </c>
      <c r="R95" s="2">
        <v>45480</v>
      </c>
      <c r="S95">
        <v>1</v>
      </c>
      <c r="T95" t="s">
        <v>29</v>
      </c>
      <c r="U95" t="s">
        <v>40</v>
      </c>
      <c r="V95" t="s">
        <v>31</v>
      </c>
      <c r="W95" t="s">
        <v>484</v>
      </c>
      <c r="X95" t="s">
        <v>32</v>
      </c>
      <c r="Y95" t="s">
        <v>33</v>
      </c>
      <c r="Z95" t="str">
        <f t="shared" si="8"/>
        <v>0-6</v>
      </c>
      <c r="AA95" t="s">
        <v>583</v>
      </c>
      <c r="AB95">
        <v>79</v>
      </c>
      <c r="AC95" t="str" cm="1">
        <f t="array" ref="AC95">_xlfn.SWITCH(AB95,
79,"Thành phố Hồ Chí Minh",
1,"Thành phố Hà Nội",
35,"Tỉnh Hà Nam",
31,"Thành phố Hải Phòng",
27,"Tỉnh Bắc Ninh",
77,"Tỉnh Bà Rịa - Vũng Tàu",
48,"Thành phố Đà Nẵng",
75,"Tỉnh Đồng Nai",
38,"Tỉnh Thanh Hoá",
82,"Tỉnh Tiền Giang",
74,"Tỉnh Bình Dương",
49,"Tỉnh Quảng Nam",
51,"Tỉnh Quảng Ngãi",
52,"Tỉnh Bình Định",
40,"Tỉnh Nghệ An",
"Không xác định"
)</f>
        <v>Thành phố Hồ Chí Minh</v>
      </c>
      <c r="AD95" t="str">
        <f t="shared" si="9"/>
        <v>48.17%</v>
      </c>
      <c r="AE95" t="s">
        <v>664</v>
      </c>
      <c r="AF95" s="8">
        <f t="shared" si="10"/>
        <v>45881</v>
      </c>
      <c r="AG95" s="8">
        <f>_xlfn.XLOOKUP(AE95, Dev!$A:$A, Dev!$B:$B, "")</f>
        <v>45708</v>
      </c>
      <c r="AH95" s="11">
        <f t="shared" si="11"/>
        <v>173</v>
      </c>
    </row>
    <row r="96" spans="1:34" x14ac:dyDescent="0.3">
      <c r="A96" s="1">
        <v>94</v>
      </c>
      <c r="B96" t="s">
        <v>251</v>
      </c>
      <c r="C96">
        <v>238500</v>
      </c>
      <c r="D96">
        <v>190800</v>
      </c>
      <c r="E96" s="2">
        <v>45865</v>
      </c>
      <c r="F96" s="2">
        <v>45865</v>
      </c>
      <c r="G96" t="s">
        <v>113</v>
      </c>
      <c r="H96" t="s">
        <v>122</v>
      </c>
      <c r="I96" t="s">
        <v>26</v>
      </c>
      <c r="J96" s="3">
        <v>45880.964583333334</v>
      </c>
      <c r="K96">
        <f t="shared" si="7"/>
        <v>8</v>
      </c>
      <c r="L96">
        <v>2025</v>
      </c>
      <c r="M96">
        <v>2025</v>
      </c>
      <c r="N96">
        <v>2025</v>
      </c>
      <c r="O96">
        <v>2025</v>
      </c>
      <c r="P96" t="s">
        <v>27</v>
      </c>
      <c r="Q96" t="s">
        <v>28</v>
      </c>
      <c r="R96" s="2">
        <v>43910</v>
      </c>
      <c r="S96">
        <v>5</v>
      </c>
      <c r="T96" t="s">
        <v>29</v>
      </c>
      <c r="U96" t="s">
        <v>40</v>
      </c>
      <c r="V96" t="s">
        <v>31</v>
      </c>
      <c r="W96" t="s">
        <v>457</v>
      </c>
      <c r="X96" t="s">
        <v>32</v>
      </c>
      <c r="Y96" t="s">
        <v>33</v>
      </c>
      <c r="Z96" t="str">
        <f t="shared" si="8"/>
        <v>0-6</v>
      </c>
      <c r="AA96" t="s">
        <v>584</v>
      </c>
      <c r="AB96">
        <v>79</v>
      </c>
      <c r="AC96" t="str" cm="1">
        <f t="array" ref="AC96">_xlfn.SWITCH(AB96,
79,"Thành phố Hồ Chí Minh",
1,"Thành phố Hà Nội",
35,"Tỉnh Hà Nam",
31,"Thành phố Hải Phòng",
27,"Tỉnh Bắc Ninh",
77,"Tỉnh Bà Rịa - Vũng Tàu",
48,"Thành phố Đà Nẵng",
75,"Tỉnh Đồng Nai",
38,"Tỉnh Thanh Hoá",
82,"Tỉnh Tiền Giang",
74,"Tỉnh Bình Dương",
49,"Tỉnh Quảng Nam",
51,"Tỉnh Quảng Ngãi",
52,"Tỉnh Bình Định",
40,"Tỉnh Nghệ An",
"Không xác định"
)</f>
        <v>Thành phố Hồ Chí Minh</v>
      </c>
      <c r="AD96" t="str">
        <f t="shared" si="9"/>
        <v>80%</v>
      </c>
      <c r="AE96" t="s">
        <v>665</v>
      </c>
      <c r="AF96" s="8">
        <f t="shared" si="10"/>
        <v>45880</v>
      </c>
      <c r="AG96" s="8">
        <f>_xlfn.XLOOKUP(AE96, Dev!$A:$A, Dev!$B:$B, "")</f>
        <v>45684.657766203702</v>
      </c>
      <c r="AH96" s="11">
        <f t="shared" si="11"/>
        <v>195.34223379629839</v>
      </c>
    </row>
    <row r="97" spans="1:34" x14ac:dyDescent="0.3">
      <c r="A97" s="1">
        <v>95</v>
      </c>
      <c r="B97" t="s">
        <v>252</v>
      </c>
      <c r="C97">
        <v>152500</v>
      </c>
      <c r="D97">
        <v>122000</v>
      </c>
      <c r="E97" s="2">
        <v>45862</v>
      </c>
      <c r="F97" s="2">
        <v>45862</v>
      </c>
      <c r="G97" t="s">
        <v>113</v>
      </c>
      <c r="H97" t="s">
        <v>82</v>
      </c>
      <c r="I97" t="s">
        <v>26</v>
      </c>
      <c r="J97" s="3">
        <v>45880.961111111108</v>
      </c>
      <c r="K97">
        <f t="shared" si="7"/>
        <v>8</v>
      </c>
      <c r="L97">
        <v>2025</v>
      </c>
      <c r="M97">
        <v>2025</v>
      </c>
      <c r="N97">
        <v>2025</v>
      </c>
      <c r="O97">
        <v>2025</v>
      </c>
      <c r="P97" t="s">
        <v>27</v>
      </c>
      <c r="Q97" t="s">
        <v>28</v>
      </c>
      <c r="R97" s="2">
        <v>43910</v>
      </c>
      <c r="S97">
        <v>5</v>
      </c>
      <c r="T97" t="s">
        <v>29</v>
      </c>
      <c r="U97" t="s">
        <v>40</v>
      </c>
      <c r="V97" t="s">
        <v>31</v>
      </c>
      <c r="W97" t="s">
        <v>82</v>
      </c>
      <c r="X97" t="s">
        <v>32</v>
      </c>
      <c r="Y97" t="s">
        <v>33</v>
      </c>
      <c r="Z97" t="str">
        <f t="shared" si="8"/>
        <v>0-6</v>
      </c>
      <c r="AA97" t="s">
        <v>584</v>
      </c>
      <c r="AB97">
        <v>79</v>
      </c>
      <c r="AC97" t="str" cm="1">
        <f t="array" ref="AC97">_xlfn.SWITCH(AB97,
79,"Thành phố Hồ Chí Minh",
1,"Thành phố Hà Nội",
35,"Tỉnh Hà Nam",
31,"Thành phố Hải Phòng",
27,"Tỉnh Bắc Ninh",
77,"Tỉnh Bà Rịa - Vũng Tàu",
48,"Thành phố Đà Nẵng",
75,"Tỉnh Đồng Nai",
38,"Tỉnh Thanh Hoá",
82,"Tỉnh Tiền Giang",
74,"Tỉnh Bình Dương",
49,"Tỉnh Quảng Nam",
51,"Tỉnh Quảng Ngãi",
52,"Tỉnh Bình Định",
40,"Tỉnh Nghệ An",
"Không xác định"
)</f>
        <v>Thành phố Hồ Chí Minh</v>
      </c>
      <c r="AD97" t="str">
        <f t="shared" si="9"/>
        <v>80%</v>
      </c>
      <c r="AE97" t="s">
        <v>665</v>
      </c>
      <c r="AF97" s="8">
        <f t="shared" si="10"/>
        <v>45880</v>
      </c>
      <c r="AG97" s="8">
        <f>_xlfn.XLOOKUP(AE97, Dev!$A:$A, Dev!$B:$B, "")</f>
        <v>45684.657766203702</v>
      </c>
      <c r="AH97" s="11">
        <f t="shared" si="11"/>
        <v>195.34223379629839</v>
      </c>
    </row>
    <row r="98" spans="1:34" x14ac:dyDescent="0.3">
      <c r="A98" s="1">
        <v>96</v>
      </c>
      <c r="B98" t="s">
        <v>253</v>
      </c>
      <c r="C98">
        <v>378500</v>
      </c>
      <c r="D98">
        <v>302800</v>
      </c>
      <c r="E98" s="2">
        <v>45859</v>
      </c>
      <c r="F98" s="2">
        <v>45859</v>
      </c>
      <c r="G98" t="s">
        <v>113</v>
      </c>
      <c r="H98" t="s">
        <v>219</v>
      </c>
      <c r="I98" t="s">
        <v>26</v>
      </c>
      <c r="J98" s="3">
        <v>45880.957638888889</v>
      </c>
      <c r="K98">
        <f t="shared" ref="K98:K129" si="12">MONTH(J98)</f>
        <v>8</v>
      </c>
      <c r="L98">
        <v>2025</v>
      </c>
      <c r="M98">
        <v>2025</v>
      </c>
      <c r="N98">
        <v>2025</v>
      </c>
      <c r="O98">
        <v>2025</v>
      </c>
      <c r="P98" t="s">
        <v>27</v>
      </c>
      <c r="Q98" t="s">
        <v>28</v>
      </c>
      <c r="R98" s="2">
        <v>43910</v>
      </c>
      <c r="S98">
        <v>5</v>
      </c>
      <c r="T98" t="s">
        <v>29</v>
      </c>
      <c r="U98" t="s">
        <v>40</v>
      </c>
      <c r="V98" t="s">
        <v>31</v>
      </c>
      <c r="W98" t="s">
        <v>82</v>
      </c>
      <c r="X98" t="s">
        <v>32</v>
      </c>
      <c r="Y98" t="s">
        <v>33</v>
      </c>
      <c r="Z98" t="str">
        <f t="shared" ref="Z98:Z129" si="13">IF(S98&lt;=6,"0-6",
IF(S98&lt;=17,"7-17",
IF(S98&lt;=35,"18-35",
IF(S98&lt;=55,"36-55",
"56+"))))</f>
        <v>0-6</v>
      </c>
      <c r="AA98" t="s">
        <v>584</v>
      </c>
      <c r="AB98">
        <v>79</v>
      </c>
      <c r="AC98" t="str" cm="1">
        <f t="array" ref="AC98">_xlfn.SWITCH(AB98,
79,"Thành phố Hồ Chí Minh",
1,"Thành phố Hà Nội",
35,"Tỉnh Hà Nam",
31,"Thành phố Hải Phòng",
27,"Tỉnh Bắc Ninh",
77,"Tỉnh Bà Rịa - Vũng Tàu",
48,"Thành phố Đà Nẵng",
75,"Tỉnh Đồng Nai",
38,"Tỉnh Thanh Hoá",
82,"Tỉnh Tiền Giang",
74,"Tỉnh Bình Dương",
49,"Tỉnh Quảng Nam",
51,"Tỉnh Quảng Ngãi",
52,"Tỉnh Bình Định",
40,"Tỉnh Nghệ An",
"Không xác định"
)</f>
        <v>Thành phố Hồ Chí Minh</v>
      </c>
      <c r="AD98" t="str">
        <f t="shared" si="9"/>
        <v>80%</v>
      </c>
      <c r="AE98" t="s">
        <v>665</v>
      </c>
      <c r="AF98" s="8">
        <f t="shared" si="10"/>
        <v>45880</v>
      </c>
      <c r="AG98" s="8">
        <f>_xlfn.XLOOKUP(AE98, Dev!$A:$A, Dev!$B:$B, "")</f>
        <v>45684.657766203702</v>
      </c>
      <c r="AH98" s="11">
        <f t="shared" si="11"/>
        <v>195.34223379629839</v>
      </c>
    </row>
    <row r="99" spans="1:34" x14ac:dyDescent="0.3">
      <c r="A99" s="1">
        <v>97</v>
      </c>
      <c r="B99" t="s">
        <v>254</v>
      </c>
      <c r="C99">
        <v>173500</v>
      </c>
      <c r="D99">
        <v>138800</v>
      </c>
      <c r="E99" s="2">
        <v>45859</v>
      </c>
      <c r="F99" s="2">
        <v>45859</v>
      </c>
      <c r="G99" t="s">
        <v>113</v>
      </c>
      <c r="H99" t="s">
        <v>255</v>
      </c>
      <c r="I99" t="s">
        <v>26</v>
      </c>
      <c r="J99" s="3">
        <v>45880.951388888891</v>
      </c>
      <c r="K99">
        <f t="shared" si="12"/>
        <v>8</v>
      </c>
      <c r="L99">
        <v>2025</v>
      </c>
      <c r="M99">
        <v>2025</v>
      </c>
      <c r="N99">
        <v>2025</v>
      </c>
      <c r="O99">
        <v>2025</v>
      </c>
      <c r="P99" t="s">
        <v>27</v>
      </c>
      <c r="Q99" t="s">
        <v>28</v>
      </c>
      <c r="R99" s="2">
        <v>45263</v>
      </c>
      <c r="S99">
        <v>1</v>
      </c>
      <c r="T99" t="s">
        <v>29</v>
      </c>
      <c r="U99" t="s">
        <v>30</v>
      </c>
      <c r="V99" t="s">
        <v>31</v>
      </c>
      <c r="W99" t="s">
        <v>255</v>
      </c>
      <c r="X99" t="s">
        <v>179</v>
      </c>
      <c r="Y99" t="s">
        <v>33</v>
      </c>
      <c r="Z99" t="str">
        <f t="shared" si="13"/>
        <v>0-6</v>
      </c>
      <c r="AA99" t="s">
        <v>581</v>
      </c>
      <c r="AB99">
        <v>79</v>
      </c>
      <c r="AC99" t="str" cm="1">
        <f t="array" ref="AC99">_xlfn.SWITCH(AB99,
79,"Thành phố Hồ Chí Minh",
1,"Thành phố Hà Nội",
35,"Tỉnh Hà Nam",
31,"Thành phố Hải Phòng",
27,"Tỉnh Bắc Ninh",
77,"Tỉnh Bà Rịa - Vũng Tàu",
48,"Thành phố Đà Nẵng",
75,"Tỉnh Đồng Nai",
38,"Tỉnh Thanh Hoá",
82,"Tỉnh Tiền Giang",
74,"Tỉnh Bình Dương",
49,"Tỉnh Quảng Nam",
51,"Tỉnh Quảng Ngãi",
52,"Tỉnh Bình Định",
40,"Tỉnh Nghệ An",
"Không xác định"
)</f>
        <v>Thành phố Hồ Chí Minh</v>
      </c>
      <c r="AD99" t="str">
        <f t="shared" si="9"/>
        <v>80%</v>
      </c>
      <c r="AE99" t="s">
        <v>662</v>
      </c>
      <c r="AF99" s="8">
        <f t="shared" si="10"/>
        <v>45880</v>
      </c>
      <c r="AG99" s="8">
        <f>_xlfn.XLOOKUP(AE99, Dev!$A:$A, Dev!$B:$B, "")</f>
        <v>45684.666458333333</v>
      </c>
      <c r="AH99" s="11">
        <f t="shared" si="11"/>
        <v>195.33354166666686</v>
      </c>
    </row>
    <row r="100" spans="1:34" x14ac:dyDescent="0.3">
      <c r="A100" s="1">
        <v>98</v>
      </c>
      <c r="B100" t="s">
        <v>256</v>
      </c>
      <c r="C100">
        <v>543500</v>
      </c>
      <c r="D100">
        <v>434800</v>
      </c>
      <c r="E100" s="2">
        <v>45853</v>
      </c>
      <c r="F100" s="2">
        <v>45853</v>
      </c>
      <c r="G100" t="s">
        <v>113</v>
      </c>
      <c r="H100" t="s">
        <v>255</v>
      </c>
      <c r="I100" t="s">
        <v>26</v>
      </c>
      <c r="J100" s="3">
        <v>45880.947222222225</v>
      </c>
      <c r="K100">
        <f t="shared" si="12"/>
        <v>8</v>
      </c>
      <c r="L100">
        <v>2025</v>
      </c>
      <c r="M100">
        <v>2025</v>
      </c>
      <c r="N100">
        <v>2025</v>
      </c>
      <c r="O100">
        <v>2025</v>
      </c>
      <c r="P100" t="s">
        <v>27</v>
      </c>
      <c r="Q100" t="s">
        <v>28</v>
      </c>
      <c r="R100" s="2">
        <v>45263</v>
      </c>
      <c r="S100">
        <v>1</v>
      </c>
      <c r="T100" t="s">
        <v>29</v>
      </c>
      <c r="U100" t="s">
        <v>30</v>
      </c>
      <c r="V100" t="s">
        <v>31</v>
      </c>
      <c r="W100" t="s">
        <v>255</v>
      </c>
      <c r="X100" t="s">
        <v>179</v>
      </c>
      <c r="Y100" t="s">
        <v>33</v>
      </c>
      <c r="Z100" t="str">
        <f t="shared" si="13"/>
        <v>0-6</v>
      </c>
      <c r="AA100" t="s">
        <v>581</v>
      </c>
      <c r="AB100">
        <v>79</v>
      </c>
      <c r="AC100" t="str" cm="1">
        <f t="array" ref="AC100">_xlfn.SWITCH(AB100,
79,"Thành phố Hồ Chí Minh",
1,"Thành phố Hà Nội",
35,"Tỉnh Hà Nam",
31,"Thành phố Hải Phòng",
27,"Tỉnh Bắc Ninh",
77,"Tỉnh Bà Rịa - Vũng Tàu",
48,"Thành phố Đà Nẵng",
75,"Tỉnh Đồng Nai",
38,"Tỉnh Thanh Hoá",
82,"Tỉnh Tiền Giang",
74,"Tỉnh Bình Dương",
49,"Tỉnh Quảng Nam",
51,"Tỉnh Quảng Ngãi",
52,"Tỉnh Bình Định",
40,"Tỉnh Nghệ An",
"Không xác định"
)</f>
        <v>Thành phố Hồ Chí Minh</v>
      </c>
      <c r="AD100" t="str">
        <f t="shared" si="9"/>
        <v>80%</v>
      </c>
      <c r="AE100" t="s">
        <v>662</v>
      </c>
      <c r="AF100" s="8">
        <f t="shared" si="10"/>
        <v>45880</v>
      </c>
      <c r="AG100" s="8">
        <f>_xlfn.XLOOKUP(AE100, Dev!$A:$A, Dev!$B:$B, "")</f>
        <v>45684.666458333333</v>
      </c>
      <c r="AH100" s="11">
        <f t="shared" si="11"/>
        <v>195.33354166666686</v>
      </c>
    </row>
    <row r="101" spans="1:34" x14ac:dyDescent="0.3">
      <c r="A101" s="1">
        <v>99</v>
      </c>
      <c r="B101" t="s">
        <v>257</v>
      </c>
      <c r="C101">
        <v>9613183</v>
      </c>
      <c r="D101">
        <v>3328466</v>
      </c>
      <c r="E101" s="2">
        <v>45866</v>
      </c>
      <c r="F101" s="2">
        <v>45877</v>
      </c>
      <c r="G101" t="s">
        <v>258</v>
      </c>
      <c r="H101" t="s">
        <v>259</v>
      </c>
      <c r="I101" t="s">
        <v>26</v>
      </c>
      <c r="J101" s="3">
        <v>45880.529166666667</v>
      </c>
      <c r="K101">
        <f t="shared" si="12"/>
        <v>8</v>
      </c>
      <c r="L101">
        <v>2025</v>
      </c>
      <c r="M101">
        <v>2025</v>
      </c>
      <c r="N101">
        <v>2025</v>
      </c>
      <c r="O101">
        <v>2025</v>
      </c>
      <c r="P101" t="s">
        <v>27</v>
      </c>
      <c r="Q101" t="s">
        <v>28</v>
      </c>
      <c r="R101" s="2">
        <v>45394</v>
      </c>
      <c r="S101">
        <v>1</v>
      </c>
      <c r="T101" t="s">
        <v>29</v>
      </c>
      <c r="U101" t="s">
        <v>40</v>
      </c>
      <c r="V101" t="s">
        <v>70</v>
      </c>
      <c r="W101" t="s">
        <v>259</v>
      </c>
      <c r="X101" t="s">
        <v>32</v>
      </c>
      <c r="Y101" t="s">
        <v>33</v>
      </c>
      <c r="Z101" t="str">
        <f t="shared" si="13"/>
        <v>0-6</v>
      </c>
      <c r="AA101" t="s">
        <v>585</v>
      </c>
      <c r="AB101">
        <v>1</v>
      </c>
      <c r="AC101" t="str" cm="1">
        <f t="array" ref="AC101">_xlfn.SWITCH(AB101,
79,"Thành phố Hồ Chí Minh",
1,"Thành phố Hà Nội",
35,"Tỉnh Hà Nam",
31,"Thành phố Hải Phòng",
27,"Tỉnh Bắc Ninh",
77,"Tỉnh Bà Rịa - Vũng Tàu",
48,"Thành phố Đà Nẵng",
75,"Tỉnh Đồng Nai",
38,"Tỉnh Thanh Hoá",
82,"Tỉnh Tiền Giang",
74,"Tỉnh Bình Dương",
49,"Tỉnh Quảng Nam",
51,"Tỉnh Quảng Ngãi",
52,"Tỉnh Bình Định",
40,"Tỉnh Nghệ An",
"Không xác định"
)</f>
        <v>Thành phố Hà Nội</v>
      </c>
      <c r="AD101" t="str">
        <f t="shared" si="9"/>
        <v>34.62%</v>
      </c>
      <c r="AE101" t="s">
        <v>666</v>
      </c>
      <c r="AF101" s="8">
        <f t="shared" si="10"/>
        <v>45880</v>
      </c>
      <c r="AG101" s="8">
        <f>_xlfn.XLOOKUP(AE101, Dev!$A:$A, Dev!$B:$B, "")</f>
        <v>45762.554652777777</v>
      </c>
      <c r="AH101" s="11">
        <f t="shared" si="11"/>
        <v>117.44534722222306</v>
      </c>
    </row>
    <row r="102" spans="1:34" x14ac:dyDescent="0.3">
      <c r="A102" s="1">
        <v>100</v>
      </c>
      <c r="B102" t="s">
        <v>260</v>
      </c>
      <c r="C102">
        <v>596332</v>
      </c>
      <c r="D102">
        <v>477065</v>
      </c>
      <c r="E102" s="2">
        <v>45867</v>
      </c>
      <c r="F102" s="2">
        <v>45867</v>
      </c>
      <c r="G102" t="s">
        <v>24</v>
      </c>
      <c r="H102" t="s">
        <v>261</v>
      </c>
      <c r="I102" t="s">
        <v>26</v>
      </c>
      <c r="J102" s="3">
        <v>45879.988888888889</v>
      </c>
      <c r="K102">
        <f t="shared" si="12"/>
        <v>8</v>
      </c>
      <c r="L102">
        <v>2025</v>
      </c>
      <c r="M102">
        <v>2025</v>
      </c>
      <c r="N102">
        <v>2025</v>
      </c>
      <c r="O102">
        <v>2025</v>
      </c>
      <c r="P102" t="s">
        <v>27</v>
      </c>
      <c r="Q102" t="s">
        <v>28</v>
      </c>
      <c r="R102" s="2">
        <v>44634</v>
      </c>
      <c r="S102">
        <v>3</v>
      </c>
      <c r="T102" t="s">
        <v>29</v>
      </c>
      <c r="U102" t="s">
        <v>30</v>
      </c>
      <c r="V102" t="s">
        <v>31</v>
      </c>
      <c r="W102" t="s">
        <v>485</v>
      </c>
      <c r="X102" t="s">
        <v>32</v>
      </c>
      <c r="Y102" t="s">
        <v>33</v>
      </c>
      <c r="Z102" t="str">
        <f t="shared" si="13"/>
        <v>0-6</v>
      </c>
      <c r="AA102" t="s">
        <v>554</v>
      </c>
      <c r="AB102">
        <v>79</v>
      </c>
      <c r="AC102" t="str" cm="1">
        <f t="array" ref="AC102">_xlfn.SWITCH(AB102,
79,"Thành phố Hồ Chí Minh",
1,"Thành phố Hà Nội",
35,"Tỉnh Hà Nam",
31,"Thành phố Hải Phòng",
27,"Tỉnh Bắc Ninh",
77,"Tỉnh Bà Rịa - Vũng Tàu",
48,"Thành phố Đà Nẵng",
75,"Tỉnh Đồng Nai",
38,"Tỉnh Thanh Hoá",
82,"Tỉnh Tiền Giang",
74,"Tỉnh Bình Dương",
49,"Tỉnh Quảng Nam",
51,"Tỉnh Quảng Ngãi",
52,"Tỉnh Bình Định",
40,"Tỉnh Nghệ An",
"Không xác định"
)</f>
        <v>Thành phố Hồ Chí Minh</v>
      </c>
      <c r="AD102" t="str">
        <f t="shared" si="9"/>
        <v>80%</v>
      </c>
      <c r="AE102" t="s">
        <v>635</v>
      </c>
      <c r="AF102" s="8">
        <f t="shared" si="10"/>
        <v>45879</v>
      </c>
      <c r="AG102" s="8">
        <f>_xlfn.XLOOKUP(AE102, Dev!$A:$A, Dev!$B:$B, "")</f>
        <v>45749.551354166666</v>
      </c>
      <c r="AH102" s="11">
        <f t="shared" si="11"/>
        <v>129.44864583333401</v>
      </c>
    </row>
    <row r="103" spans="1:34" x14ac:dyDescent="0.3">
      <c r="A103" s="1">
        <v>101</v>
      </c>
      <c r="B103" t="s">
        <v>262</v>
      </c>
      <c r="C103">
        <v>440643</v>
      </c>
      <c r="D103">
        <v>257475</v>
      </c>
      <c r="E103" s="2">
        <v>45855</v>
      </c>
      <c r="F103" s="2">
        <v>45855</v>
      </c>
      <c r="G103" t="s">
        <v>24</v>
      </c>
      <c r="H103" t="s">
        <v>263</v>
      </c>
      <c r="I103" t="s">
        <v>26</v>
      </c>
      <c r="J103" s="3">
        <v>45879.977083333331</v>
      </c>
      <c r="K103">
        <f t="shared" si="12"/>
        <v>8</v>
      </c>
      <c r="L103">
        <v>2025</v>
      </c>
      <c r="M103">
        <v>2025</v>
      </c>
      <c r="N103">
        <v>2025</v>
      </c>
      <c r="O103">
        <v>2025</v>
      </c>
      <c r="P103" t="s">
        <v>27</v>
      </c>
      <c r="Q103" t="s">
        <v>28</v>
      </c>
      <c r="R103" s="2">
        <v>44634</v>
      </c>
      <c r="S103">
        <v>3</v>
      </c>
      <c r="T103" t="s">
        <v>29</v>
      </c>
      <c r="U103" t="s">
        <v>30</v>
      </c>
      <c r="V103" t="s">
        <v>31</v>
      </c>
      <c r="W103" t="s">
        <v>263</v>
      </c>
      <c r="X103" t="s">
        <v>32</v>
      </c>
      <c r="Y103" t="s">
        <v>33</v>
      </c>
      <c r="Z103" t="str">
        <f t="shared" si="13"/>
        <v>0-6</v>
      </c>
      <c r="AA103" t="s">
        <v>554</v>
      </c>
      <c r="AB103">
        <v>79</v>
      </c>
      <c r="AC103" t="str" cm="1">
        <f t="array" ref="AC103">_xlfn.SWITCH(AB103,
79,"Thành phố Hồ Chí Minh",
1,"Thành phố Hà Nội",
35,"Tỉnh Hà Nam",
31,"Thành phố Hải Phòng",
27,"Tỉnh Bắc Ninh",
77,"Tỉnh Bà Rịa - Vũng Tàu",
48,"Thành phố Đà Nẵng",
75,"Tỉnh Đồng Nai",
38,"Tỉnh Thanh Hoá",
82,"Tỉnh Tiền Giang",
74,"Tỉnh Bình Dương",
49,"Tỉnh Quảng Nam",
51,"Tỉnh Quảng Ngãi",
52,"Tỉnh Bình Định",
40,"Tỉnh Nghệ An",
"Không xác định"
)</f>
        <v>Thành phố Hồ Chí Minh</v>
      </c>
      <c r="AD103" t="str">
        <f t="shared" si="9"/>
        <v>58.43%</v>
      </c>
      <c r="AE103" t="s">
        <v>635</v>
      </c>
      <c r="AF103" s="8">
        <f t="shared" si="10"/>
        <v>45879</v>
      </c>
      <c r="AG103" s="8">
        <f>_xlfn.XLOOKUP(AE103, Dev!$A:$A, Dev!$B:$B, "")</f>
        <v>45749.551354166666</v>
      </c>
      <c r="AH103" s="11">
        <f t="shared" si="11"/>
        <v>129.44864583333401</v>
      </c>
    </row>
    <row r="104" spans="1:34" x14ac:dyDescent="0.3">
      <c r="A104" s="1">
        <v>102</v>
      </c>
      <c r="B104" t="s">
        <v>264</v>
      </c>
      <c r="C104">
        <v>487000</v>
      </c>
      <c r="D104">
        <v>399000</v>
      </c>
      <c r="E104" s="2">
        <v>45859</v>
      </c>
      <c r="F104" s="2">
        <v>45859</v>
      </c>
      <c r="G104" t="s">
        <v>258</v>
      </c>
      <c r="H104" t="s">
        <v>265</v>
      </c>
      <c r="I104" t="s">
        <v>26</v>
      </c>
      <c r="J104" s="3">
        <v>45877.027083333334</v>
      </c>
      <c r="K104">
        <f t="shared" si="12"/>
        <v>8</v>
      </c>
      <c r="L104">
        <v>2025</v>
      </c>
      <c r="M104">
        <v>2025</v>
      </c>
      <c r="N104">
        <v>2025</v>
      </c>
      <c r="O104">
        <v>2025</v>
      </c>
      <c r="P104" t="s">
        <v>27</v>
      </c>
      <c r="Q104" t="s">
        <v>28</v>
      </c>
      <c r="R104" s="2">
        <v>45590</v>
      </c>
      <c r="S104">
        <v>0</v>
      </c>
      <c r="T104" t="s">
        <v>29</v>
      </c>
      <c r="U104" t="s">
        <v>40</v>
      </c>
      <c r="V104" t="s">
        <v>31</v>
      </c>
      <c r="W104" t="s">
        <v>265</v>
      </c>
      <c r="X104" t="s">
        <v>41</v>
      </c>
      <c r="Y104" t="s">
        <v>33</v>
      </c>
      <c r="Z104" t="str">
        <f t="shared" si="13"/>
        <v>0-6</v>
      </c>
      <c r="AA104" t="s">
        <v>586</v>
      </c>
      <c r="AB104">
        <v>1</v>
      </c>
      <c r="AC104" t="str" cm="1">
        <f t="array" ref="AC104">_xlfn.SWITCH(AB104,
79,"Thành phố Hồ Chí Minh",
1,"Thành phố Hà Nội",
35,"Tỉnh Hà Nam",
31,"Thành phố Hải Phòng",
27,"Tỉnh Bắc Ninh",
77,"Tỉnh Bà Rịa - Vũng Tàu",
48,"Thành phố Đà Nẵng",
75,"Tỉnh Đồng Nai",
38,"Tỉnh Thanh Hoá",
82,"Tỉnh Tiền Giang",
74,"Tỉnh Bình Dương",
49,"Tỉnh Quảng Nam",
51,"Tỉnh Quảng Ngãi",
52,"Tỉnh Bình Định",
40,"Tỉnh Nghệ An",
"Không xác định"
)</f>
        <v>Thành phố Hà Nội</v>
      </c>
      <c r="AD104" t="str">
        <f t="shared" si="9"/>
        <v>81.93%</v>
      </c>
      <c r="AE104" t="s">
        <v>667</v>
      </c>
      <c r="AF104" s="8">
        <f t="shared" si="10"/>
        <v>45877</v>
      </c>
      <c r="AG104" s="8">
        <f>_xlfn.XLOOKUP(AE104, Dev!$A:$A, Dev!$B:$B, "")</f>
        <v>45727.475266203706</v>
      </c>
      <c r="AH104" s="11">
        <f t="shared" si="11"/>
        <v>149.52473379629373</v>
      </c>
    </row>
    <row r="105" spans="1:34" x14ac:dyDescent="0.3">
      <c r="A105" s="1">
        <v>103</v>
      </c>
      <c r="B105" t="s">
        <v>266</v>
      </c>
      <c r="C105">
        <v>468000</v>
      </c>
      <c r="D105">
        <v>370400</v>
      </c>
      <c r="E105" s="2">
        <v>45868</v>
      </c>
      <c r="F105" s="2">
        <v>45868</v>
      </c>
      <c r="G105" t="s">
        <v>41</v>
      </c>
      <c r="H105" t="s">
        <v>219</v>
      </c>
      <c r="I105" t="s">
        <v>26</v>
      </c>
      <c r="J105" s="3">
        <v>45875.900694444441</v>
      </c>
      <c r="K105">
        <f t="shared" si="12"/>
        <v>8</v>
      </c>
      <c r="L105">
        <v>2025</v>
      </c>
      <c r="M105">
        <v>2025</v>
      </c>
      <c r="N105">
        <v>2025</v>
      </c>
      <c r="O105">
        <v>2025</v>
      </c>
      <c r="P105" t="s">
        <v>27</v>
      </c>
      <c r="Q105" t="s">
        <v>28</v>
      </c>
      <c r="R105" s="2">
        <v>45681</v>
      </c>
      <c r="S105">
        <v>0</v>
      </c>
      <c r="T105" t="s">
        <v>29</v>
      </c>
      <c r="U105" t="s">
        <v>30</v>
      </c>
      <c r="V105" t="s">
        <v>31</v>
      </c>
      <c r="W105" t="s">
        <v>82</v>
      </c>
      <c r="X105" t="s">
        <v>32</v>
      </c>
      <c r="Y105" t="s">
        <v>33</v>
      </c>
      <c r="Z105" t="str">
        <f t="shared" si="13"/>
        <v>0-6</v>
      </c>
      <c r="AA105" t="s">
        <v>587</v>
      </c>
      <c r="AB105">
        <v>1</v>
      </c>
      <c r="AC105" t="str" cm="1">
        <f t="array" ref="AC105">_xlfn.SWITCH(AB105,
79,"Thành phố Hồ Chí Minh",
1,"Thành phố Hà Nội",
35,"Tỉnh Hà Nam",
31,"Thành phố Hải Phòng",
27,"Tỉnh Bắc Ninh",
77,"Tỉnh Bà Rịa - Vũng Tàu",
48,"Thành phố Đà Nẵng",
75,"Tỉnh Đồng Nai",
38,"Tỉnh Thanh Hoá",
82,"Tỉnh Tiền Giang",
74,"Tỉnh Bình Dương",
49,"Tỉnh Quảng Nam",
51,"Tỉnh Quảng Ngãi",
52,"Tỉnh Bình Định",
40,"Tỉnh Nghệ An",
"Không xác định"
)</f>
        <v>Thành phố Hà Nội</v>
      </c>
      <c r="AD105" t="str">
        <f t="shared" si="9"/>
        <v>79.15%</v>
      </c>
      <c r="AE105" t="s">
        <v>668</v>
      </c>
      <c r="AF105" s="8">
        <f t="shared" si="10"/>
        <v>45875</v>
      </c>
      <c r="AG105" s="8">
        <f>_xlfn.XLOOKUP(AE105, Dev!$A:$A, Dev!$B:$B, "")</f>
        <v>45769.741736111115</v>
      </c>
      <c r="AH105" s="11">
        <f t="shared" si="11"/>
        <v>105.25826388888527</v>
      </c>
    </row>
    <row r="106" spans="1:34" x14ac:dyDescent="0.3">
      <c r="A106" s="1">
        <v>104</v>
      </c>
      <c r="B106" t="s">
        <v>267</v>
      </c>
      <c r="C106">
        <v>2296500</v>
      </c>
      <c r="D106">
        <v>1280000</v>
      </c>
      <c r="E106" s="2">
        <v>45871</v>
      </c>
      <c r="F106" s="2">
        <v>45871</v>
      </c>
      <c r="G106" t="s">
        <v>110</v>
      </c>
      <c r="H106" t="s">
        <v>82</v>
      </c>
      <c r="I106" t="s">
        <v>26</v>
      </c>
      <c r="J106" s="3">
        <v>45875.469444444447</v>
      </c>
      <c r="K106">
        <f t="shared" si="12"/>
        <v>8</v>
      </c>
      <c r="L106">
        <v>2025</v>
      </c>
      <c r="M106">
        <v>2025</v>
      </c>
      <c r="N106">
        <v>2025</v>
      </c>
      <c r="O106">
        <v>2025</v>
      </c>
      <c r="P106" t="s">
        <v>27</v>
      </c>
      <c r="Q106" t="s">
        <v>28</v>
      </c>
      <c r="R106" s="2">
        <v>45551</v>
      </c>
      <c r="S106">
        <v>1</v>
      </c>
      <c r="T106" t="s">
        <v>29</v>
      </c>
      <c r="U106" t="s">
        <v>40</v>
      </c>
      <c r="V106" t="s">
        <v>31</v>
      </c>
      <c r="W106" t="s">
        <v>82</v>
      </c>
      <c r="X106" t="s">
        <v>32</v>
      </c>
      <c r="Y106" t="s">
        <v>33</v>
      </c>
      <c r="Z106" t="str">
        <f t="shared" si="13"/>
        <v>0-6</v>
      </c>
      <c r="AA106" t="s">
        <v>588</v>
      </c>
      <c r="AB106">
        <v>1</v>
      </c>
      <c r="AC106" t="str" cm="1">
        <f t="array" ref="AC106">_xlfn.SWITCH(AB106,
79,"Thành phố Hồ Chí Minh",
1,"Thành phố Hà Nội",
35,"Tỉnh Hà Nam",
31,"Thành phố Hải Phòng",
27,"Tỉnh Bắc Ninh",
77,"Tỉnh Bà Rịa - Vũng Tàu",
48,"Thành phố Đà Nẵng",
75,"Tỉnh Đồng Nai",
38,"Tỉnh Thanh Hoá",
82,"Tỉnh Tiền Giang",
74,"Tỉnh Bình Dương",
49,"Tỉnh Quảng Nam",
51,"Tỉnh Quảng Ngãi",
52,"Tỉnh Bình Định",
40,"Tỉnh Nghệ An",
"Không xác định"
)</f>
        <v>Thành phố Hà Nội</v>
      </c>
      <c r="AD106" t="str">
        <f t="shared" si="9"/>
        <v>55.74%</v>
      </c>
      <c r="AE106" t="s">
        <v>669</v>
      </c>
      <c r="AF106" s="8">
        <f t="shared" si="10"/>
        <v>45875</v>
      </c>
      <c r="AG106" s="8">
        <f>_xlfn.XLOOKUP(AE106, Dev!$A:$A, Dev!$B:$B, "")</f>
        <v>45751.516053240739</v>
      </c>
      <c r="AH106" s="11">
        <f t="shared" si="11"/>
        <v>123.48394675926102</v>
      </c>
    </row>
    <row r="107" spans="1:34" x14ac:dyDescent="0.3">
      <c r="A107" s="1">
        <v>105</v>
      </c>
      <c r="B107" t="s">
        <v>268</v>
      </c>
      <c r="C107">
        <v>9551292</v>
      </c>
      <c r="D107">
        <v>2540097</v>
      </c>
      <c r="E107" s="2">
        <v>45857</v>
      </c>
      <c r="F107" s="2">
        <v>45861</v>
      </c>
      <c r="G107" t="s">
        <v>66</v>
      </c>
      <c r="H107" t="s">
        <v>269</v>
      </c>
      <c r="I107" t="s">
        <v>26</v>
      </c>
      <c r="J107" s="3">
        <v>45874.813194444447</v>
      </c>
      <c r="K107">
        <f t="shared" si="12"/>
        <v>8</v>
      </c>
      <c r="L107">
        <v>2025</v>
      </c>
      <c r="M107">
        <v>2025</v>
      </c>
      <c r="N107">
        <v>2025</v>
      </c>
      <c r="O107">
        <v>2025</v>
      </c>
      <c r="P107" t="s">
        <v>27</v>
      </c>
      <c r="Q107" t="s">
        <v>28</v>
      </c>
      <c r="R107" s="2">
        <v>43124</v>
      </c>
      <c r="S107">
        <v>7</v>
      </c>
      <c r="T107" t="s">
        <v>29</v>
      </c>
      <c r="U107" t="s">
        <v>40</v>
      </c>
      <c r="V107" t="s">
        <v>270</v>
      </c>
      <c r="W107" t="s">
        <v>486</v>
      </c>
      <c r="X107" t="s">
        <v>41</v>
      </c>
      <c r="Y107" t="s">
        <v>33</v>
      </c>
      <c r="Z107" t="str">
        <f t="shared" si="13"/>
        <v>7-17</v>
      </c>
      <c r="AA107" t="s">
        <v>589</v>
      </c>
      <c r="AB107">
        <v>51</v>
      </c>
      <c r="AC107" t="str" cm="1">
        <f t="array" ref="AC107">_xlfn.SWITCH(AB107,
79,"Thành phố Hồ Chí Minh",
1,"Thành phố Hà Nội",
35,"Tỉnh Hà Nam",
31,"Thành phố Hải Phòng",
27,"Tỉnh Bắc Ninh",
77,"Tỉnh Bà Rịa - Vũng Tàu",
48,"Thành phố Đà Nẵng",
75,"Tỉnh Đồng Nai",
38,"Tỉnh Thanh Hoá",
82,"Tỉnh Tiền Giang",
74,"Tỉnh Bình Dương",
49,"Tỉnh Quảng Nam",
51,"Tỉnh Quảng Ngãi",
52,"Tỉnh Bình Định",
40,"Tỉnh Nghệ An",
"Không xác định"
)</f>
        <v>Tỉnh Quảng Ngãi</v>
      </c>
      <c r="AD107" t="str">
        <f t="shared" si="9"/>
        <v>26.59%</v>
      </c>
      <c r="AE107" t="s">
        <v>670</v>
      </c>
      <c r="AF107" s="8">
        <f t="shared" si="10"/>
        <v>45874</v>
      </c>
      <c r="AG107" s="8">
        <f>_xlfn.XLOOKUP(AE107, Dev!$A:$A, Dev!$B:$B, "")</f>
        <v>45636.93854166667</v>
      </c>
      <c r="AH107" s="11">
        <f t="shared" si="11"/>
        <v>237.06145833332994</v>
      </c>
    </row>
    <row r="108" spans="1:34" x14ac:dyDescent="0.3">
      <c r="A108" s="1">
        <v>106</v>
      </c>
      <c r="B108" t="s">
        <v>271</v>
      </c>
      <c r="C108">
        <v>280780</v>
      </c>
      <c r="D108">
        <v>151264</v>
      </c>
      <c r="E108" s="2">
        <v>45874</v>
      </c>
      <c r="G108" t="s">
        <v>272</v>
      </c>
      <c r="H108" t="s">
        <v>273</v>
      </c>
      <c r="I108" t="s">
        <v>26</v>
      </c>
      <c r="J108" s="3">
        <v>45874.786111111112</v>
      </c>
      <c r="K108">
        <f t="shared" si="12"/>
        <v>8</v>
      </c>
      <c r="L108">
        <v>2025</v>
      </c>
      <c r="M108">
        <v>2025</v>
      </c>
      <c r="N108">
        <v>2025</v>
      </c>
      <c r="O108">
        <v>2025</v>
      </c>
      <c r="P108" t="s">
        <v>27</v>
      </c>
      <c r="Q108" t="s">
        <v>28</v>
      </c>
      <c r="R108" s="2">
        <v>45463</v>
      </c>
      <c r="S108">
        <v>1</v>
      </c>
      <c r="T108" t="s">
        <v>29</v>
      </c>
      <c r="U108" t="s">
        <v>30</v>
      </c>
      <c r="V108" t="s">
        <v>31</v>
      </c>
      <c r="W108" t="s">
        <v>487</v>
      </c>
      <c r="X108" t="s">
        <v>41</v>
      </c>
      <c r="Y108" t="s">
        <v>33</v>
      </c>
      <c r="Z108" t="str">
        <f t="shared" si="13"/>
        <v>0-6</v>
      </c>
      <c r="AA108" t="s">
        <v>590</v>
      </c>
      <c r="AB108">
        <v>31</v>
      </c>
      <c r="AC108" t="str" cm="1">
        <f t="array" ref="AC108">_xlfn.SWITCH(AB108,
79,"Thành phố Hồ Chí Minh",
1,"Thành phố Hà Nội",
35,"Tỉnh Hà Nam",
31,"Thành phố Hải Phòng",
27,"Tỉnh Bắc Ninh",
77,"Tỉnh Bà Rịa - Vũng Tàu",
48,"Thành phố Đà Nẵng",
75,"Tỉnh Đồng Nai",
38,"Tỉnh Thanh Hoá",
82,"Tỉnh Tiền Giang",
74,"Tỉnh Bình Dương",
49,"Tỉnh Quảng Nam",
51,"Tỉnh Quảng Ngãi",
52,"Tỉnh Bình Định",
40,"Tỉnh Nghệ An",
"Không xác định"
)</f>
        <v>Thành phố Hải Phòng</v>
      </c>
      <c r="AD108" t="str">
        <f t="shared" si="9"/>
        <v>53.87%</v>
      </c>
      <c r="AE108" t="s">
        <v>671</v>
      </c>
      <c r="AF108" s="8">
        <f t="shared" si="10"/>
        <v>45874</v>
      </c>
      <c r="AG108" s="8">
        <f>_xlfn.XLOOKUP(AE108, Dev!$A:$A, Dev!$B:$B, "")</f>
        <v>45789.722129629627</v>
      </c>
      <c r="AH108" s="11">
        <f t="shared" si="11"/>
        <v>84.277870370373421</v>
      </c>
    </row>
    <row r="109" spans="1:34" x14ac:dyDescent="0.3">
      <c r="A109" s="1">
        <v>107</v>
      </c>
      <c r="B109" t="s">
        <v>274</v>
      </c>
      <c r="C109">
        <v>226893</v>
      </c>
      <c r="D109">
        <v>181514</v>
      </c>
      <c r="E109" s="2">
        <v>45868</v>
      </c>
      <c r="F109" s="2">
        <v>45868</v>
      </c>
      <c r="G109" t="s">
        <v>275</v>
      </c>
      <c r="H109" t="s">
        <v>99</v>
      </c>
      <c r="I109" t="s">
        <v>26</v>
      </c>
      <c r="J109" s="3">
        <v>45873.672222222223</v>
      </c>
      <c r="K109">
        <f t="shared" si="12"/>
        <v>8</v>
      </c>
      <c r="L109">
        <v>2025</v>
      </c>
      <c r="M109">
        <v>2025</v>
      </c>
      <c r="N109">
        <v>2025</v>
      </c>
      <c r="O109">
        <v>2025</v>
      </c>
      <c r="P109" t="s">
        <v>27</v>
      </c>
      <c r="Q109" t="s">
        <v>28</v>
      </c>
      <c r="R109" s="2">
        <v>44269</v>
      </c>
      <c r="S109">
        <v>4</v>
      </c>
      <c r="T109" t="s">
        <v>29</v>
      </c>
      <c r="U109" t="s">
        <v>40</v>
      </c>
      <c r="V109" t="s">
        <v>31</v>
      </c>
      <c r="W109" t="s">
        <v>99</v>
      </c>
      <c r="X109" t="s">
        <v>32</v>
      </c>
      <c r="Y109" t="s">
        <v>33</v>
      </c>
      <c r="Z109" t="str">
        <f t="shared" si="13"/>
        <v>0-6</v>
      </c>
      <c r="AA109" t="s">
        <v>539</v>
      </c>
      <c r="AB109">
        <v>79</v>
      </c>
      <c r="AC109" t="str" cm="1">
        <f t="array" ref="AC109">_xlfn.SWITCH(AB109,
79,"Thành phố Hồ Chí Minh",
1,"Thành phố Hà Nội",
35,"Tỉnh Hà Nam",
31,"Thành phố Hải Phòng",
27,"Tỉnh Bắc Ninh",
77,"Tỉnh Bà Rịa - Vũng Tàu",
48,"Thành phố Đà Nẵng",
75,"Tỉnh Đồng Nai",
38,"Tỉnh Thanh Hoá",
82,"Tỉnh Tiền Giang",
74,"Tỉnh Bình Dương",
49,"Tỉnh Quảng Nam",
51,"Tỉnh Quảng Ngãi",
52,"Tỉnh Bình Định",
40,"Tỉnh Nghệ An",
"Không xác định"
)</f>
        <v>Thành phố Hồ Chí Minh</v>
      </c>
      <c r="AD109" t="str">
        <f t="shared" si="9"/>
        <v>80%</v>
      </c>
      <c r="AE109" t="s">
        <v>620</v>
      </c>
      <c r="AF109" s="8">
        <f t="shared" si="10"/>
        <v>45873</v>
      </c>
      <c r="AG109" s="8">
        <f>_xlfn.XLOOKUP(AE109, Dev!$A:$A, Dev!$B:$B, "")</f>
        <v>45689</v>
      </c>
      <c r="AH109" s="11">
        <f t="shared" si="11"/>
        <v>184</v>
      </c>
    </row>
    <row r="110" spans="1:34" x14ac:dyDescent="0.3">
      <c r="A110" s="1">
        <v>108</v>
      </c>
      <c r="B110" t="s">
        <v>276</v>
      </c>
      <c r="C110">
        <v>222790</v>
      </c>
      <c r="D110">
        <v>178232</v>
      </c>
      <c r="E110" s="2">
        <v>45863</v>
      </c>
      <c r="F110" s="2">
        <v>45863</v>
      </c>
      <c r="G110" t="s">
        <v>277</v>
      </c>
      <c r="H110" t="s">
        <v>99</v>
      </c>
      <c r="I110" t="s">
        <v>26</v>
      </c>
      <c r="J110" s="3">
        <v>45873.668749999997</v>
      </c>
      <c r="K110">
        <f t="shared" si="12"/>
        <v>8</v>
      </c>
      <c r="L110">
        <v>2025</v>
      </c>
      <c r="M110">
        <v>2025</v>
      </c>
      <c r="N110">
        <v>2025</v>
      </c>
      <c r="O110">
        <v>2025</v>
      </c>
      <c r="P110" t="s">
        <v>27</v>
      </c>
      <c r="Q110" t="s">
        <v>28</v>
      </c>
      <c r="R110" s="2">
        <v>44269</v>
      </c>
      <c r="S110">
        <v>4</v>
      </c>
      <c r="T110" t="s">
        <v>29</v>
      </c>
      <c r="U110" t="s">
        <v>40</v>
      </c>
      <c r="V110" t="s">
        <v>31</v>
      </c>
      <c r="W110" t="s">
        <v>99</v>
      </c>
      <c r="X110" t="s">
        <v>32</v>
      </c>
      <c r="Y110" t="s">
        <v>33</v>
      </c>
      <c r="Z110" t="str">
        <f t="shared" si="13"/>
        <v>0-6</v>
      </c>
      <c r="AA110" t="s">
        <v>539</v>
      </c>
      <c r="AB110">
        <v>79</v>
      </c>
      <c r="AC110" t="str" cm="1">
        <f t="array" ref="AC110">_xlfn.SWITCH(AB110,
79,"Thành phố Hồ Chí Minh",
1,"Thành phố Hà Nội",
35,"Tỉnh Hà Nam",
31,"Thành phố Hải Phòng",
27,"Tỉnh Bắc Ninh",
77,"Tỉnh Bà Rịa - Vũng Tàu",
48,"Thành phố Đà Nẵng",
75,"Tỉnh Đồng Nai",
38,"Tỉnh Thanh Hoá",
82,"Tỉnh Tiền Giang",
74,"Tỉnh Bình Dương",
49,"Tỉnh Quảng Nam",
51,"Tỉnh Quảng Ngãi",
52,"Tỉnh Bình Định",
40,"Tỉnh Nghệ An",
"Không xác định"
)</f>
        <v>Thành phố Hồ Chí Minh</v>
      </c>
      <c r="AD110" t="str">
        <f t="shared" si="9"/>
        <v>80%</v>
      </c>
      <c r="AE110" t="s">
        <v>620</v>
      </c>
      <c r="AF110" s="8">
        <f t="shared" si="10"/>
        <v>45873</v>
      </c>
      <c r="AG110" s="8">
        <f>_xlfn.XLOOKUP(AE110, Dev!$A:$A, Dev!$B:$B, "")</f>
        <v>45689</v>
      </c>
      <c r="AH110" s="11">
        <f t="shared" si="11"/>
        <v>184</v>
      </c>
    </row>
    <row r="111" spans="1:34" x14ac:dyDescent="0.3">
      <c r="A111" s="1">
        <v>109</v>
      </c>
      <c r="B111" t="s">
        <v>278</v>
      </c>
      <c r="C111">
        <v>14210</v>
      </c>
      <c r="D111">
        <v>11442433</v>
      </c>
      <c r="E111" s="2">
        <v>45866</v>
      </c>
      <c r="F111" s="2">
        <v>45870</v>
      </c>
      <c r="G111" t="s">
        <v>38</v>
      </c>
      <c r="H111" t="s">
        <v>279</v>
      </c>
      <c r="I111" t="s">
        <v>26</v>
      </c>
      <c r="J111" s="3">
        <v>45873.640972222223</v>
      </c>
      <c r="K111">
        <f t="shared" si="12"/>
        <v>8</v>
      </c>
      <c r="L111">
        <v>2025</v>
      </c>
      <c r="M111">
        <v>2025</v>
      </c>
      <c r="N111">
        <v>2025</v>
      </c>
      <c r="O111">
        <v>2025</v>
      </c>
      <c r="P111" t="s">
        <v>27</v>
      </c>
      <c r="Q111" t="s">
        <v>28</v>
      </c>
      <c r="R111" s="2">
        <v>45701</v>
      </c>
      <c r="S111">
        <v>0</v>
      </c>
      <c r="T111" t="s">
        <v>29</v>
      </c>
      <c r="U111" t="s">
        <v>30</v>
      </c>
      <c r="V111" t="s">
        <v>70</v>
      </c>
      <c r="W111" t="s">
        <v>488</v>
      </c>
      <c r="X111" t="s">
        <v>32</v>
      </c>
      <c r="Y111" t="s">
        <v>33</v>
      </c>
      <c r="Z111" t="str">
        <f t="shared" si="13"/>
        <v>0-6</v>
      </c>
      <c r="AA111" t="s">
        <v>591</v>
      </c>
      <c r="AB111">
        <v>1</v>
      </c>
      <c r="AC111" t="str" cm="1">
        <f t="array" ref="AC111">_xlfn.SWITCH(AB111,
79,"Thành phố Hồ Chí Minh",
1,"Thành phố Hà Nội",
35,"Tỉnh Hà Nam",
31,"Thành phố Hải Phòng",
27,"Tỉnh Bắc Ninh",
77,"Tỉnh Bà Rịa - Vũng Tàu",
48,"Thành phố Đà Nẵng",
75,"Tỉnh Đồng Nai",
38,"Tỉnh Thanh Hoá",
82,"Tỉnh Tiền Giang",
74,"Tỉnh Bình Dương",
49,"Tỉnh Quảng Nam",
51,"Tỉnh Quảng Ngãi",
52,"Tỉnh Bình Định",
40,"Tỉnh Nghệ An",
"Không xác định"
)</f>
        <v>Thành phố Hà Nội</v>
      </c>
      <c r="AD111" t="str">
        <f t="shared" si="9"/>
        <v>80523.81%</v>
      </c>
      <c r="AE111" t="s">
        <v>672</v>
      </c>
      <c r="AF111" s="8">
        <f t="shared" si="10"/>
        <v>45873</v>
      </c>
      <c r="AG111" s="8">
        <f>_xlfn.XLOOKUP(AE111, Dev!$A:$A, Dev!$B:$B, "")</f>
        <v>45777.437893518516</v>
      </c>
      <c r="AH111" s="11">
        <f t="shared" si="11"/>
        <v>95.562106481484079</v>
      </c>
    </row>
    <row r="112" spans="1:34" x14ac:dyDescent="0.3">
      <c r="A112" s="1">
        <v>110</v>
      </c>
      <c r="B112" t="s">
        <v>280</v>
      </c>
      <c r="C112">
        <v>4624000</v>
      </c>
      <c r="D112">
        <v>4093232</v>
      </c>
      <c r="E112" s="2">
        <v>45854</v>
      </c>
      <c r="F112" s="2">
        <v>45856</v>
      </c>
      <c r="G112" t="s">
        <v>38</v>
      </c>
      <c r="H112" t="s">
        <v>281</v>
      </c>
      <c r="I112" t="s">
        <v>26</v>
      </c>
      <c r="J112" s="3">
        <v>45873.626388888886</v>
      </c>
      <c r="K112">
        <f t="shared" si="12"/>
        <v>8</v>
      </c>
      <c r="L112">
        <v>2025</v>
      </c>
      <c r="M112">
        <v>2025</v>
      </c>
      <c r="N112">
        <v>2025</v>
      </c>
      <c r="O112">
        <v>2025</v>
      </c>
      <c r="P112" t="s">
        <v>27</v>
      </c>
      <c r="Q112" t="s">
        <v>28</v>
      </c>
      <c r="R112" s="2">
        <v>45701</v>
      </c>
      <c r="S112">
        <v>0</v>
      </c>
      <c r="T112" t="s">
        <v>29</v>
      </c>
      <c r="U112" t="s">
        <v>30</v>
      </c>
      <c r="V112" t="s">
        <v>70</v>
      </c>
      <c r="W112" t="s">
        <v>489</v>
      </c>
      <c r="X112" t="s">
        <v>32</v>
      </c>
      <c r="Y112" t="s">
        <v>33</v>
      </c>
      <c r="Z112" t="str">
        <f t="shared" si="13"/>
        <v>0-6</v>
      </c>
      <c r="AA112" t="s">
        <v>591</v>
      </c>
      <c r="AB112">
        <v>1</v>
      </c>
      <c r="AC112" t="str" cm="1">
        <f t="array" ref="AC112">_xlfn.SWITCH(AB112,
79,"Thành phố Hồ Chí Minh",
1,"Thành phố Hà Nội",
35,"Tỉnh Hà Nam",
31,"Thành phố Hải Phòng",
27,"Tỉnh Bắc Ninh",
77,"Tỉnh Bà Rịa - Vũng Tàu",
48,"Thành phố Đà Nẵng",
75,"Tỉnh Đồng Nai",
38,"Tỉnh Thanh Hoá",
82,"Tỉnh Tiền Giang",
74,"Tỉnh Bình Dương",
49,"Tỉnh Quảng Nam",
51,"Tỉnh Quảng Ngãi",
52,"Tỉnh Bình Định",
40,"Tỉnh Nghệ An",
"Không xác định"
)</f>
        <v>Thành phố Hà Nội</v>
      </c>
      <c r="AD112" t="str">
        <f t="shared" si="9"/>
        <v>88.52%</v>
      </c>
      <c r="AE112" t="s">
        <v>672</v>
      </c>
      <c r="AF112" s="8">
        <f t="shared" si="10"/>
        <v>45873</v>
      </c>
      <c r="AG112" s="8">
        <f>_xlfn.XLOOKUP(AE112, Dev!$A:$A, Dev!$B:$B, "")</f>
        <v>45777.437893518516</v>
      </c>
      <c r="AH112" s="11">
        <f t="shared" si="11"/>
        <v>95.562106481484079</v>
      </c>
    </row>
    <row r="113" spans="1:34" x14ac:dyDescent="0.3">
      <c r="A113" s="1">
        <v>111</v>
      </c>
      <c r="B113" t="s">
        <v>282</v>
      </c>
      <c r="C113">
        <v>778000</v>
      </c>
      <c r="D113">
        <v>461000</v>
      </c>
      <c r="E113" s="2">
        <v>45861</v>
      </c>
      <c r="F113" s="2">
        <v>45861</v>
      </c>
      <c r="G113" t="s">
        <v>38</v>
      </c>
      <c r="H113" t="s">
        <v>283</v>
      </c>
      <c r="I113" t="s">
        <v>26</v>
      </c>
      <c r="J113" s="3">
        <v>45873.621527777781</v>
      </c>
      <c r="K113">
        <f t="shared" si="12"/>
        <v>8</v>
      </c>
      <c r="L113">
        <v>2025</v>
      </c>
      <c r="M113">
        <v>2025</v>
      </c>
      <c r="N113">
        <v>2025</v>
      </c>
      <c r="O113">
        <v>2025</v>
      </c>
      <c r="P113" t="s">
        <v>27</v>
      </c>
      <c r="Q113" t="s">
        <v>28</v>
      </c>
      <c r="R113" s="2">
        <v>45701</v>
      </c>
      <c r="S113">
        <v>0</v>
      </c>
      <c r="T113" t="s">
        <v>29</v>
      </c>
      <c r="U113" t="s">
        <v>30</v>
      </c>
      <c r="V113" t="s">
        <v>31</v>
      </c>
      <c r="W113" t="s">
        <v>490</v>
      </c>
      <c r="X113" t="s">
        <v>32</v>
      </c>
      <c r="Y113" t="s">
        <v>33</v>
      </c>
      <c r="Z113" t="str">
        <f t="shared" si="13"/>
        <v>0-6</v>
      </c>
      <c r="AA113" t="s">
        <v>591</v>
      </c>
      <c r="AB113">
        <v>1</v>
      </c>
      <c r="AC113" t="str" cm="1">
        <f t="array" ref="AC113">_xlfn.SWITCH(AB113,
79,"Thành phố Hồ Chí Minh",
1,"Thành phố Hà Nội",
35,"Tỉnh Hà Nam",
31,"Thành phố Hải Phòng",
27,"Tỉnh Bắc Ninh",
77,"Tỉnh Bà Rịa - Vũng Tàu",
48,"Thành phố Đà Nẵng",
75,"Tỉnh Đồng Nai",
38,"Tỉnh Thanh Hoá",
82,"Tỉnh Tiền Giang",
74,"Tỉnh Bình Dương",
49,"Tỉnh Quảng Nam",
51,"Tỉnh Quảng Ngãi",
52,"Tỉnh Bình Định",
40,"Tỉnh Nghệ An",
"Không xác định"
)</f>
        <v>Thành phố Hà Nội</v>
      </c>
      <c r="AD113" t="str">
        <f t="shared" si="9"/>
        <v>59.25%</v>
      </c>
      <c r="AE113" t="s">
        <v>672</v>
      </c>
      <c r="AF113" s="8">
        <f t="shared" si="10"/>
        <v>45873</v>
      </c>
      <c r="AG113" s="8">
        <f>_xlfn.XLOOKUP(AE113, Dev!$A:$A, Dev!$B:$B, "")</f>
        <v>45777.437893518516</v>
      </c>
      <c r="AH113" s="11">
        <f t="shared" si="11"/>
        <v>95.562106481484079</v>
      </c>
    </row>
    <row r="114" spans="1:34" x14ac:dyDescent="0.3">
      <c r="A114" s="1">
        <v>112</v>
      </c>
      <c r="B114" t="s">
        <v>284</v>
      </c>
      <c r="C114">
        <v>750000</v>
      </c>
      <c r="D114">
        <v>600000</v>
      </c>
      <c r="E114" s="2">
        <v>45872</v>
      </c>
      <c r="G114" t="s">
        <v>285</v>
      </c>
      <c r="H114" t="s">
        <v>286</v>
      </c>
      <c r="I114" t="s">
        <v>26</v>
      </c>
      <c r="J114" s="3">
        <v>45872.829861111109</v>
      </c>
      <c r="K114">
        <f t="shared" si="12"/>
        <v>8</v>
      </c>
      <c r="L114">
        <v>2025</v>
      </c>
      <c r="M114">
        <v>2025</v>
      </c>
      <c r="N114">
        <v>2025</v>
      </c>
      <c r="O114">
        <v>2025</v>
      </c>
      <c r="P114" t="s">
        <v>27</v>
      </c>
      <c r="Q114" t="s">
        <v>28</v>
      </c>
      <c r="R114" s="2">
        <v>45281</v>
      </c>
      <c r="S114">
        <v>1</v>
      </c>
      <c r="T114" t="s">
        <v>29</v>
      </c>
      <c r="U114" t="s">
        <v>30</v>
      </c>
      <c r="V114" t="s">
        <v>31</v>
      </c>
      <c r="W114" t="s">
        <v>491</v>
      </c>
      <c r="X114" t="s">
        <v>41</v>
      </c>
      <c r="Y114" t="s">
        <v>33</v>
      </c>
      <c r="Z114" t="str">
        <f t="shared" si="13"/>
        <v>0-6</v>
      </c>
      <c r="AA114" t="s">
        <v>592</v>
      </c>
      <c r="AB114">
        <v>1</v>
      </c>
      <c r="AC114" t="str" cm="1">
        <f t="array" ref="AC114">_xlfn.SWITCH(AB114,
79,"Thành phố Hồ Chí Minh",
1,"Thành phố Hà Nội",
35,"Tỉnh Hà Nam",
31,"Thành phố Hải Phòng",
27,"Tỉnh Bắc Ninh",
77,"Tỉnh Bà Rịa - Vũng Tàu",
48,"Thành phố Đà Nẵng",
75,"Tỉnh Đồng Nai",
38,"Tỉnh Thanh Hoá",
82,"Tỉnh Tiền Giang",
74,"Tỉnh Bình Dương",
49,"Tỉnh Quảng Nam",
51,"Tỉnh Quảng Ngãi",
52,"Tỉnh Bình Định",
40,"Tỉnh Nghệ An",
"Không xác định"
)</f>
        <v>Thành phố Hà Nội</v>
      </c>
      <c r="AD114" t="str">
        <f t="shared" si="9"/>
        <v>80%</v>
      </c>
      <c r="AE114" t="s">
        <v>673</v>
      </c>
      <c r="AF114" s="8">
        <f t="shared" si="10"/>
        <v>45872</v>
      </c>
      <c r="AG114" s="8">
        <f>_xlfn.XLOOKUP(AE114, Dev!$A:$A, Dev!$B:$B, "")</f>
        <v>45722.751307870371</v>
      </c>
      <c r="AH114" s="11">
        <f t="shared" si="11"/>
        <v>149.24869212962949</v>
      </c>
    </row>
    <row r="115" spans="1:34" x14ac:dyDescent="0.3">
      <c r="A115" s="1">
        <v>113</v>
      </c>
      <c r="B115" t="s">
        <v>287</v>
      </c>
      <c r="C115">
        <v>1126500</v>
      </c>
      <c r="D115">
        <v>693200</v>
      </c>
      <c r="E115" s="2">
        <v>45861</v>
      </c>
      <c r="F115" s="2">
        <v>45861</v>
      </c>
      <c r="G115" t="s">
        <v>285</v>
      </c>
      <c r="H115" t="s">
        <v>288</v>
      </c>
      <c r="I115" t="s">
        <v>26</v>
      </c>
      <c r="J115" s="3">
        <v>45872.820138888892</v>
      </c>
      <c r="K115">
        <f t="shared" si="12"/>
        <v>8</v>
      </c>
      <c r="L115">
        <v>2025</v>
      </c>
      <c r="M115">
        <v>2025</v>
      </c>
      <c r="N115">
        <v>2025</v>
      </c>
      <c r="O115">
        <v>2025</v>
      </c>
      <c r="P115" t="s">
        <v>27</v>
      </c>
      <c r="Q115" t="s">
        <v>28</v>
      </c>
      <c r="R115" s="2">
        <v>45281</v>
      </c>
      <c r="S115">
        <v>1</v>
      </c>
      <c r="T115" t="s">
        <v>29</v>
      </c>
      <c r="U115" t="s">
        <v>30</v>
      </c>
      <c r="V115" t="s">
        <v>31</v>
      </c>
      <c r="W115" t="s">
        <v>492</v>
      </c>
      <c r="X115" t="s">
        <v>41</v>
      </c>
      <c r="Y115" t="s">
        <v>33</v>
      </c>
      <c r="Z115" t="str">
        <f t="shared" si="13"/>
        <v>0-6</v>
      </c>
      <c r="AA115" t="s">
        <v>592</v>
      </c>
      <c r="AB115">
        <v>1</v>
      </c>
      <c r="AC115" t="str" cm="1">
        <f t="array" ref="AC115">_xlfn.SWITCH(AB115,
79,"Thành phố Hồ Chí Minh",
1,"Thành phố Hà Nội",
35,"Tỉnh Hà Nam",
31,"Thành phố Hải Phòng",
27,"Tỉnh Bắc Ninh",
77,"Tỉnh Bà Rịa - Vũng Tàu",
48,"Thành phố Đà Nẵng",
75,"Tỉnh Đồng Nai",
38,"Tỉnh Thanh Hoá",
82,"Tỉnh Tiền Giang",
74,"Tỉnh Bình Dương",
49,"Tỉnh Quảng Nam",
51,"Tỉnh Quảng Ngãi",
52,"Tỉnh Bình Định",
40,"Tỉnh Nghệ An",
"Không xác định"
)</f>
        <v>Thành phố Hà Nội</v>
      </c>
      <c r="AD115" t="str">
        <f t="shared" si="9"/>
        <v>61.54%</v>
      </c>
      <c r="AE115" t="s">
        <v>673</v>
      </c>
      <c r="AF115" s="8">
        <f t="shared" si="10"/>
        <v>45872</v>
      </c>
      <c r="AG115" s="8">
        <f>_xlfn.XLOOKUP(AE115, Dev!$A:$A, Dev!$B:$B, "")</f>
        <v>45722.751307870371</v>
      </c>
      <c r="AH115" s="11">
        <f t="shared" si="11"/>
        <v>149.24869212962949</v>
      </c>
    </row>
    <row r="116" spans="1:34" x14ac:dyDescent="0.3">
      <c r="A116" s="1">
        <v>114</v>
      </c>
      <c r="B116" t="s">
        <v>289</v>
      </c>
      <c r="C116">
        <v>1945000</v>
      </c>
      <c r="D116">
        <v>640000</v>
      </c>
      <c r="E116" s="2">
        <v>45870</v>
      </c>
      <c r="F116" s="2">
        <v>45870</v>
      </c>
      <c r="G116" t="s">
        <v>92</v>
      </c>
      <c r="H116" t="s">
        <v>290</v>
      </c>
      <c r="I116" t="s">
        <v>26</v>
      </c>
      <c r="J116" s="3">
        <v>45871.934027777781</v>
      </c>
      <c r="K116">
        <f t="shared" si="12"/>
        <v>8</v>
      </c>
      <c r="L116">
        <v>2025</v>
      </c>
      <c r="M116">
        <v>2025</v>
      </c>
      <c r="N116">
        <v>2025</v>
      </c>
      <c r="O116">
        <v>2025</v>
      </c>
      <c r="P116" t="s">
        <v>27</v>
      </c>
      <c r="Q116" t="s">
        <v>28</v>
      </c>
      <c r="R116" s="2">
        <v>45454</v>
      </c>
      <c r="S116">
        <v>1</v>
      </c>
      <c r="T116" t="s">
        <v>29</v>
      </c>
      <c r="U116" t="s">
        <v>40</v>
      </c>
      <c r="V116" t="s">
        <v>31</v>
      </c>
      <c r="W116" t="s">
        <v>493</v>
      </c>
      <c r="X116" t="s">
        <v>41</v>
      </c>
      <c r="Y116" t="s">
        <v>33</v>
      </c>
      <c r="Z116" t="str">
        <f t="shared" si="13"/>
        <v>0-6</v>
      </c>
      <c r="AA116" t="s">
        <v>551</v>
      </c>
      <c r="AB116">
        <v>1</v>
      </c>
      <c r="AC116" t="str" cm="1">
        <f t="array" ref="AC116">_xlfn.SWITCH(AB116,
79,"Thành phố Hồ Chí Minh",
1,"Thành phố Hà Nội",
35,"Tỉnh Hà Nam",
31,"Thành phố Hải Phòng",
27,"Tỉnh Bắc Ninh",
77,"Tỉnh Bà Rịa - Vũng Tàu",
48,"Thành phố Đà Nẵng",
75,"Tỉnh Đồng Nai",
38,"Tỉnh Thanh Hoá",
82,"Tỉnh Tiền Giang",
74,"Tỉnh Bình Dương",
49,"Tỉnh Quảng Nam",
51,"Tỉnh Quảng Ngãi",
52,"Tỉnh Bình Định",
40,"Tỉnh Nghệ An",
"Không xác định"
)</f>
        <v>Thành phố Hà Nội</v>
      </c>
      <c r="AD116" t="str">
        <f t="shared" si="9"/>
        <v>32.9%</v>
      </c>
      <c r="AE116" t="s">
        <v>632</v>
      </c>
      <c r="AF116" s="8">
        <f t="shared" si="10"/>
        <v>45871</v>
      </c>
      <c r="AG116" s="8">
        <f>_xlfn.XLOOKUP(AE116, Dev!$A:$A, Dev!$B:$B, "")</f>
        <v>45745.370266203703</v>
      </c>
      <c r="AH116" s="11">
        <f t="shared" si="11"/>
        <v>125.62973379629693</v>
      </c>
    </row>
    <row r="117" spans="1:34" x14ac:dyDescent="0.3">
      <c r="A117" s="1">
        <v>115</v>
      </c>
      <c r="B117" t="s">
        <v>291</v>
      </c>
      <c r="C117">
        <v>1197957</v>
      </c>
      <c r="D117">
        <v>958365</v>
      </c>
      <c r="E117" s="2">
        <v>45870</v>
      </c>
      <c r="F117" s="2">
        <v>45870</v>
      </c>
      <c r="G117" t="s">
        <v>41</v>
      </c>
      <c r="H117" t="s">
        <v>292</v>
      </c>
      <c r="I117" t="s">
        <v>26</v>
      </c>
      <c r="J117" s="3">
        <v>45871.624305555553</v>
      </c>
      <c r="K117">
        <f t="shared" si="12"/>
        <v>8</v>
      </c>
      <c r="L117">
        <v>2025</v>
      </c>
      <c r="M117">
        <v>2025</v>
      </c>
      <c r="N117">
        <v>2025</v>
      </c>
      <c r="O117">
        <v>2025</v>
      </c>
      <c r="P117" t="s">
        <v>27</v>
      </c>
      <c r="Q117" t="s">
        <v>28</v>
      </c>
      <c r="R117" s="2">
        <v>45145</v>
      </c>
      <c r="S117">
        <v>2</v>
      </c>
      <c r="T117" t="s">
        <v>29</v>
      </c>
      <c r="U117" t="s">
        <v>40</v>
      </c>
      <c r="V117" t="s">
        <v>31</v>
      </c>
      <c r="W117" t="s">
        <v>494</v>
      </c>
      <c r="X117" t="s">
        <v>41</v>
      </c>
      <c r="Y117" t="s">
        <v>33</v>
      </c>
      <c r="Z117" t="str">
        <f t="shared" si="13"/>
        <v>0-6</v>
      </c>
      <c r="AA117" t="s">
        <v>547</v>
      </c>
      <c r="AB117">
        <v>27</v>
      </c>
      <c r="AC117" t="str" cm="1">
        <f t="array" ref="AC117">_xlfn.SWITCH(AB117,
79,"Thành phố Hồ Chí Minh",
1,"Thành phố Hà Nội",
35,"Tỉnh Hà Nam",
31,"Thành phố Hải Phòng",
27,"Tỉnh Bắc Ninh",
77,"Tỉnh Bà Rịa - Vũng Tàu",
48,"Thành phố Đà Nẵng",
75,"Tỉnh Đồng Nai",
38,"Tỉnh Thanh Hoá",
82,"Tỉnh Tiền Giang",
74,"Tỉnh Bình Dương",
49,"Tỉnh Quảng Nam",
51,"Tỉnh Quảng Ngãi",
52,"Tỉnh Bình Định",
40,"Tỉnh Nghệ An",
"Không xác định"
)</f>
        <v>Tỉnh Bắc Ninh</v>
      </c>
      <c r="AD117" t="str">
        <f t="shared" si="9"/>
        <v>80%</v>
      </c>
      <c r="AE117" t="s">
        <v>628</v>
      </c>
      <c r="AF117" s="8">
        <f t="shared" si="10"/>
        <v>45871</v>
      </c>
      <c r="AG117" s="8">
        <f>_xlfn.XLOOKUP(AE117, Dev!$A:$A, Dev!$B:$B, "")</f>
        <v>45784.413310185184</v>
      </c>
      <c r="AH117" s="11">
        <f t="shared" si="11"/>
        <v>86.586689814816054</v>
      </c>
    </row>
    <row r="118" spans="1:34" x14ac:dyDescent="0.3">
      <c r="A118" s="1">
        <v>116</v>
      </c>
      <c r="B118" t="s">
        <v>293</v>
      </c>
      <c r="C118">
        <v>1268222</v>
      </c>
      <c r="D118">
        <v>810577</v>
      </c>
      <c r="E118" s="2">
        <v>45869</v>
      </c>
      <c r="F118" s="2">
        <v>45869</v>
      </c>
      <c r="G118" t="s">
        <v>53</v>
      </c>
      <c r="H118" t="s">
        <v>294</v>
      </c>
      <c r="I118" t="s">
        <v>26</v>
      </c>
      <c r="J118" s="3">
        <v>45870.322916666664</v>
      </c>
      <c r="K118">
        <f t="shared" si="12"/>
        <v>8</v>
      </c>
      <c r="L118">
        <v>2025</v>
      </c>
      <c r="M118">
        <v>2025</v>
      </c>
      <c r="N118">
        <v>2025</v>
      </c>
      <c r="O118">
        <v>2025</v>
      </c>
      <c r="P118" t="s">
        <v>27</v>
      </c>
      <c r="Q118" t="s">
        <v>28</v>
      </c>
      <c r="R118" s="2">
        <v>45619</v>
      </c>
      <c r="S118">
        <v>0</v>
      </c>
      <c r="T118" t="s">
        <v>29</v>
      </c>
      <c r="U118" t="s">
        <v>30</v>
      </c>
      <c r="V118" t="s">
        <v>31</v>
      </c>
      <c r="W118" t="s">
        <v>294</v>
      </c>
      <c r="X118" t="s">
        <v>32</v>
      </c>
      <c r="Y118" t="s">
        <v>33</v>
      </c>
      <c r="Z118" t="str">
        <f t="shared" si="13"/>
        <v>0-6</v>
      </c>
      <c r="AA118" t="s">
        <v>556</v>
      </c>
      <c r="AB118">
        <v>1</v>
      </c>
      <c r="AC118" t="str" cm="1">
        <f t="array" ref="AC118">_xlfn.SWITCH(AB118,
79,"Thành phố Hồ Chí Minh",
1,"Thành phố Hà Nội",
35,"Tỉnh Hà Nam",
31,"Thành phố Hải Phòng",
27,"Tỉnh Bắc Ninh",
77,"Tỉnh Bà Rịa - Vũng Tàu",
48,"Thành phố Đà Nẵng",
75,"Tỉnh Đồng Nai",
38,"Tỉnh Thanh Hoá",
82,"Tỉnh Tiền Giang",
74,"Tỉnh Bình Dương",
49,"Tỉnh Quảng Nam",
51,"Tỉnh Quảng Ngãi",
52,"Tỉnh Bình Định",
40,"Tỉnh Nghệ An",
"Không xác định"
)</f>
        <v>Thành phố Hà Nội</v>
      </c>
      <c r="AD118" t="str">
        <f t="shared" si="9"/>
        <v>63.91%</v>
      </c>
      <c r="AE118" t="s">
        <v>637</v>
      </c>
      <c r="AF118" s="8">
        <f t="shared" si="10"/>
        <v>45870</v>
      </c>
      <c r="AG118" s="8">
        <f>_xlfn.XLOOKUP(AE118, Dev!$A:$A, Dev!$B:$B, "")</f>
        <v>45680.692175925928</v>
      </c>
      <c r="AH118" s="11">
        <f t="shared" si="11"/>
        <v>189.30782407407241</v>
      </c>
    </row>
    <row r="119" spans="1:34" x14ac:dyDescent="0.3">
      <c r="A119" s="1">
        <v>117</v>
      </c>
      <c r="B119" t="s">
        <v>295</v>
      </c>
      <c r="C119">
        <v>576470</v>
      </c>
      <c r="D119">
        <v>443570</v>
      </c>
      <c r="E119" s="2">
        <v>45866</v>
      </c>
      <c r="F119" s="2">
        <v>45866</v>
      </c>
      <c r="G119" t="s">
        <v>66</v>
      </c>
      <c r="H119" t="s">
        <v>296</v>
      </c>
      <c r="I119" t="s">
        <v>26</v>
      </c>
      <c r="J119" s="3">
        <v>45868.550694444442</v>
      </c>
      <c r="K119">
        <f t="shared" si="12"/>
        <v>7</v>
      </c>
      <c r="L119">
        <v>2025</v>
      </c>
      <c r="M119">
        <v>2025</v>
      </c>
      <c r="N119">
        <v>2025</v>
      </c>
      <c r="O119">
        <v>2025</v>
      </c>
      <c r="P119" t="s">
        <v>27</v>
      </c>
      <c r="Q119" t="s">
        <v>28</v>
      </c>
      <c r="R119" s="2">
        <v>45609</v>
      </c>
      <c r="S119">
        <v>0</v>
      </c>
      <c r="T119" t="s">
        <v>29</v>
      </c>
      <c r="U119" t="s">
        <v>40</v>
      </c>
      <c r="V119" t="s">
        <v>31</v>
      </c>
      <c r="W119" t="s">
        <v>495</v>
      </c>
      <c r="X119" t="s">
        <v>179</v>
      </c>
      <c r="Y119" t="s">
        <v>33</v>
      </c>
      <c r="Z119" t="str">
        <f t="shared" si="13"/>
        <v>0-6</v>
      </c>
      <c r="AA119" t="s">
        <v>565</v>
      </c>
      <c r="AB119">
        <v>75</v>
      </c>
      <c r="AC119" t="str" cm="1">
        <f t="array" ref="AC119">_xlfn.SWITCH(AB119,
79,"Thành phố Hồ Chí Minh",
1,"Thành phố Hà Nội",
35,"Tỉnh Hà Nam",
31,"Thành phố Hải Phòng",
27,"Tỉnh Bắc Ninh",
77,"Tỉnh Bà Rịa - Vũng Tàu",
48,"Thành phố Đà Nẵng",
75,"Tỉnh Đồng Nai",
38,"Tỉnh Thanh Hoá",
82,"Tỉnh Tiền Giang",
74,"Tỉnh Bình Dương",
49,"Tỉnh Quảng Nam",
51,"Tỉnh Quảng Ngãi",
52,"Tỉnh Bình Định",
40,"Tỉnh Nghệ An",
"Không xác định"
)</f>
        <v>Tỉnh Đồng Nai</v>
      </c>
      <c r="AD119" t="str">
        <f t="shared" si="9"/>
        <v>76.95%</v>
      </c>
      <c r="AE119" t="s">
        <v>646</v>
      </c>
      <c r="AF119" s="8">
        <f t="shared" si="10"/>
        <v>45868</v>
      </c>
      <c r="AG119" s="8">
        <f>_xlfn.XLOOKUP(AE119, Dev!$A:$A, Dev!$B:$B, "")</f>
        <v>45729.416770833333</v>
      </c>
      <c r="AH119" s="11">
        <f t="shared" si="11"/>
        <v>138.58322916666657</v>
      </c>
    </row>
    <row r="120" spans="1:34" x14ac:dyDescent="0.3">
      <c r="A120" s="1">
        <v>118</v>
      </c>
      <c r="B120" t="s">
        <v>297</v>
      </c>
      <c r="C120">
        <v>797775</v>
      </c>
      <c r="D120">
        <v>326137</v>
      </c>
      <c r="E120" s="2">
        <v>45862</v>
      </c>
      <c r="F120" s="2">
        <v>45862</v>
      </c>
      <c r="G120" t="s">
        <v>66</v>
      </c>
      <c r="H120" t="s">
        <v>298</v>
      </c>
      <c r="I120" t="s">
        <v>26</v>
      </c>
      <c r="J120" s="3">
        <v>45868.54583333333</v>
      </c>
      <c r="K120">
        <f t="shared" si="12"/>
        <v>7</v>
      </c>
      <c r="L120">
        <v>2025</v>
      </c>
      <c r="M120">
        <v>2025</v>
      </c>
      <c r="N120">
        <v>2025</v>
      </c>
      <c r="O120">
        <v>2025</v>
      </c>
      <c r="P120" t="s">
        <v>27</v>
      </c>
      <c r="Q120" t="s">
        <v>28</v>
      </c>
      <c r="R120" s="2">
        <v>45609</v>
      </c>
      <c r="S120">
        <v>0</v>
      </c>
      <c r="T120" t="s">
        <v>29</v>
      </c>
      <c r="U120" t="s">
        <v>40</v>
      </c>
      <c r="V120" t="s">
        <v>31</v>
      </c>
      <c r="W120" t="s">
        <v>496</v>
      </c>
      <c r="X120" t="s">
        <v>32</v>
      </c>
      <c r="Y120" t="s">
        <v>33</v>
      </c>
      <c r="Z120" t="str">
        <f t="shared" si="13"/>
        <v>0-6</v>
      </c>
      <c r="AA120" t="s">
        <v>565</v>
      </c>
      <c r="AB120">
        <v>75</v>
      </c>
      <c r="AC120" t="str" cm="1">
        <f t="array" ref="AC120">_xlfn.SWITCH(AB120,
79,"Thành phố Hồ Chí Minh",
1,"Thành phố Hà Nội",
35,"Tỉnh Hà Nam",
31,"Thành phố Hải Phòng",
27,"Tỉnh Bắc Ninh",
77,"Tỉnh Bà Rịa - Vũng Tàu",
48,"Thành phố Đà Nẵng",
75,"Tỉnh Đồng Nai",
38,"Tỉnh Thanh Hoá",
82,"Tỉnh Tiền Giang",
74,"Tỉnh Bình Dương",
49,"Tỉnh Quảng Nam",
51,"Tỉnh Quảng Ngãi",
52,"Tỉnh Bình Định",
40,"Tỉnh Nghệ An",
"Không xác định"
)</f>
        <v>Tỉnh Đồng Nai</v>
      </c>
      <c r="AD120" t="str">
        <f t="shared" si="9"/>
        <v>40.88%</v>
      </c>
      <c r="AE120" t="s">
        <v>646</v>
      </c>
      <c r="AF120" s="8">
        <f t="shared" si="10"/>
        <v>45868</v>
      </c>
      <c r="AG120" s="8">
        <f>_xlfn.XLOOKUP(AE120, Dev!$A:$A, Dev!$B:$B, "")</f>
        <v>45729.416770833333</v>
      </c>
      <c r="AH120" s="11">
        <f t="shared" si="11"/>
        <v>138.58322916666657</v>
      </c>
    </row>
    <row r="121" spans="1:34" x14ac:dyDescent="0.3">
      <c r="A121" s="1">
        <v>119</v>
      </c>
      <c r="B121" t="s">
        <v>299</v>
      </c>
      <c r="C121">
        <v>212500</v>
      </c>
      <c r="D121">
        <v>160150</v>
      </c>
      <c r="E121" s="2">
        <v>45862</v>
      </c>
      <c r="F121" s="2">
        <v>45862</v>
      </c>
      <c r="G121" t="s">
        <v>300</v>
      </c>
      <c r="H121" t="s">
        <v>194</v>
      </c>
      <c r="I121" t="s">
        <v>26</v>
      </c>
      <c r="J121" s="3">
        <v>45868.501388888886</v>
      </c>
      <c r="K121">
        <f t="shared" si="12"/>
        <v>7</v>
      </c>
      <c r="L121">
        <v>2025</v>
      </c>
      <c r="M121">
        <v>2025</v>
      </c>
      <c r="N121">
        <v>2025</v>
      </c>
      <c r="O121">
        <v>2025</v>
      </c>
      <c r="P121" t="s">
        <v>27</v>
      </c>
      <c r="Q121" t="s">
        <v>28</v>
      </c>
      <c r="R121" s="2">
        <v>45090</v>
      </c>
      <c r="S121">
        <v>2</v>
      </c>
      <c r="T121" t="s">
        <v>29</v>
      </c>
      <c r="U121" t="s">
        <v>30</v>
      </c>
      <c r="V121" t="s">
        <v>31</v>
      </c>
      <c r="W121" t="s">
        <v>73</v>
      </c>
      <c r="X121" t="s">
        <v>32</v>
      </c>
      <c r="Y121" t="s">
        <v>33</v>
      </c>
      <c r="Z121" t="str">
        <f t="shared" si="13"/>
        <v>0-6</v>
      </c>
      <c r="AA121" t="s">
        <v>568</v>
      </c>
      <c r="AB121">
        <v>79</v>
      </c>
      <c r="AC121" t="str" cm="1">
        <f t="array" ref="AC121">_xlfn.SWITCH(AB121,
79,"Thành phố Hồ Chí Minh",
1,"Thành phố Hà Nội",
35,"Tỉnh Hà Nam",
31,"Thành phố Hải Phòng",
27,"Tỉnh Bắc Ninh",
77,"Tỉnh Bà Rịa - Vũng Tàu",
48,"Thành phố Đà Nẵng",
75,"Tỉnh Đồng Nai",
38,"Tỉnh Thanh Hoá",
82,"Tỉnh Tiền Giang",
74,"Tỉnh Bình Dương",
49,"Tỉnh Quảng Nam",
51,"Tỉnh Quảng Ngãi",
52,"Tỉnh Bình Định",
40,"Tỉnh Nghệ An",
"Không xác định"
)</f>
        <v>Thành phố Hồ Chí Minh</v>
      </c>
      <c r="AD121" t="str">
        <f t="shared" si="9"/>
        <v>75.36%</v>
      </c>
      <c r="AE121" t="s">
        <v>649</v>
      </c>
      <c r="AF121" s="8">
        <f t="shared" si="10"/>
        <v>45868</v>
      </c>
      <c r="AG121" s="8">
        <f>_xlfn.XLOOKUP(AE121, Dev!$A:$A, Dev!$B:$B, "")</f>
        <v>45576.580300925925</v>
      </c>
      <c r="AH121" s="11">
        <f t="shared" si="11"/>
        <v>291.41969907407474</v>
      </c>
    </row>
    <row r="122" spans="1:34" x14ac:dyDescent="0.3">
      <c r="A122" s="1">
        <v>120</v>
      </c>
      <c r="B122" t="s">
        <v>301</v>
      </c>
      <c r="C122">
        <v>167500</v>
      </c>
      <c r="D122">
        <v>123200</v>
      </c>
      <c r="E122" s="2">
        <v>45859</v>
      </c>
      <c r="F122" s="2">
        <v>45859</v>
      </c>
      <c r="G122" t="s">
        <v>300</v>
      </c>
      <c r="H122" t="s">
        <v>194</v>
      </c>
      <c r="I122" t="s">
        <v>26</v>
      </c>
      <c r="J122" s="3">
        <v>45868.499305555553</v>
      </c>
      <c r="K122">
        <f t="shared" si="12"/>
        <v>7</v>
      </c>
      <c r="L122">
        <v>2025</v>
      </c>
      <c r="M122">
        <v>2025</v>
      </c>
      <c r="N122">
        <v>2025</v>
      </c>
      <c r="O122">
        <v>2025</v>
      </c>
      <c r="P122" t="s">
        <v>27</v>
      </c>
      <c r="Q122" t="s">
        <v>28</v>
      </c>
      <c r="R122" s="2">
        <v>45090</v>
      </c>
      <c r="S122">
        <v>2</v>
      </c>
      <c r="T122" t="s">
        <v>29</v>
      </c>
      <c r="U122" t="s">
        <v>30</v>
      </c>
      <c r="V122" t="s">
        <v>31</v>
      </c>
      <c r="W122" t="s">
        <v>73</v>
      </c>
      <c r="X122" t="s">
        <v>32</v>
      </c>
      <c r="Y122" t="s">
        <v>33</v>
      </c>
      <c r="Z122" t="str">
        <f t="shared" si="13"/>
        <v>0-6</v>
      </c>
      <c r="AA122" t="s">
        <v>568</v>
      </c>
      <c r="AB122">
        <v>79</v>
      </c>
      <c r="AC122" t="str" cm="1">
        <f t="array" ref="AC122">_xlfn.SWITCH(AB122,
79,"Thành phố Hồ Chí Minh",
1,"Thành phố Hà Nội",
35,"Tỉnh Hà Nam",
31,"Thành phố Hải Phòng",
27,"Tỉnh Bắc Ninh",
77,"Tỉnh Bà Rịa - Vũng Tàu",
48,"Thành phố Đà Nẵng",
75,"Tỉnh Đồng Nai",
38,"Tỉnh Thanh Hoá",
82,"Tỉnh Tiền Giang",
74,"Tỉnh Bình Dương",
49,"Tỉnh Quảng Nam",
51,"Tỉnh Quảng Ngãi",
52,"Tỉnh Bình Định",
40,"Tỉnh Nghệ An",
"Không xác định"
)</f>
        <v>Thành phố Hồ Chí Minh</v>
      </c>
      <c r="AD122" t="str">
        <f t="shared" si="9"/>
        <v>73.55%</v>
      </c>
      <c r="AE122" t="s">
        <v>649</v>
      </c>
      <c r="AF122" s="8">
        <f t="shared" si="10"/>
        <v>45868</v>
      </c>
      <c r="AG122" s="8">
        <f>_xlfn.XLOOKUP(AE122, Dev!$A:$A, Dev!$B:$B, "")</f>
        <v>45576.580300925925</v>
      </c>
      <c r="AH122" s="11">
        <f t="shared" si="11"/>
        <v>291.41969907407474</v>
      </c>
    </row>
    <row r="123" spans="1:34" x14ac:dyDescent="0.3">
      <c r="A123" s="1">
        <v>121</v>
      </c>
      <c r="B123" t="s">
        <v>302</v>
      </c>
      <c r="C123">
        <v>131000</v>
      </c>
      <c r="D123">
        <v>88800</v>
      </c>
      <c r="E123" s="2">
        <v>45858</v>
      </c>
      <c r="F123" s="2">
        <v>45858</v>
      </c>
      <c r="G123" t="s">
        <v>300</v>
      </c>
      <c r="H123" t="s">
        <v>194</v>
      </c>
      <c r="I123" t="s">
        <v>26</v>
      </c>
      <c r="J123" s="3">
        <v>45868.497916666667</v>
      </c>
      <c r="K123">
        <f t="shared" si="12"/>
        <v>7</v>
      </c>
      <c r="L123">
        <v>2025</v>
      </c>
      <c r="M123">
        <v>2025</v>
      </c>
      <c r="N123">
        <v>2025</v>
      </c>
      <c r="O123">
        <v>2025</v>
      </c>
      <c r="P123" t="s">
        <v>27</v>
      </c>
      <c r="Q123" t="s">
        <v>28</v>
      </c>
      <c r="R123" s="2">
        <v>45090</v>
      </c>
      <c r="S123">
        <v>2</v>
      </c>
      <c r="T123" t="s">
        <v>29</v>
      </c>
      <c r="U123" t="s">
        <v>30</v>
      </c>
      <c r="V123" t="s">
        <v>31</v>
      </c>
      <c r="W123" t="s">
        <v>73</v>
      </c>
      <c r="X123" t="s">
        <v>32</v>
      </c>
      <c r="Y123" t="s">
        <v>33</v>
      </c>
      <c r="Z123" t="str">
        <f t="shared" si="13"/>
        <v>0-6</v>
      </c>
      <c r="AA123" t="s">
        <v>568</v>
      </c>
      <c r="AB123">
        <v>79</v>
      </c>
      <c r="AC123" t="str" cm="1">
        <f t="array" ref="AC123">_xlfn.SWITCH(AB123,
79,"Thành phố Hồ Chí Minh",
1,"Thành phố Hà Nội",
35,"Tỉnh Hà Nam",
31,"Thành phố Hải Phòng",
27,"Tỉnh Bắc Ninh",
77,"Tỉnh Bà Rịa - Vũng Tàu",
48,"Thành phố Đà Nẵng",
75,"Tỉnh Đồng Nai",
38,"Tỉnh Thanh Hoá",
82,"Tỉnh Tiền Giang",
74,"Tỉnh Bình Dương",
49,"Tỉnh Quảng Nam",
51,"Tỉnh Quảng Ngãi",
52,"Tỉnh Bình Định",
40,"Tỉnh Nghệ An",
"Không xác định"
)</f>
        <v>Thành phố Hồ Chí Minh</v>
      </c>
      <c r="AD123" t="str">
        <f t="shared" si="9"/>
        <v>67.79%</v>
      </c>
      <c r="AE123" t="s">
        <v>649</v>
      </c>
      <c r="AF123" s="8">
        <f t="shared" si="10"/>
        <v>45868</v>
      </c>
      <c r="AG123" s="8">
        <f>_xlfn.XLOOKUP(AE123, Dev!$A:$A, Dev!$B:$B, "")</f>
        <v>45576.580300925925</v>
      </c>
      <c r="AH123" s="11">
        <f t="shared" si="11"/>
        <v>291.41969907407474</v>
      </c>
    </row>
    <row r="124" spans="1:34" x14ac:dyDescent="0.3">
      <c r="A124" s="1">
        <v>122</v>
      </c>
      <c r="B124" t="s">
        <v>303</v>
      </c>
      <c r="C124">
        <v>1338000</v>
      </c>
      <c r="D124">
        <v>1070664</v>
      </c>
      <c r="E124" s="2">
        <v>45867</v>
      </c>
      <c r="F124" s="2">
        <v>45867</v>
      </c>
      <c r="G124" t="s">
        <v>24</v>
      </c>
      <c r="H124" t="s">
        <v>304</v>
      </c>
      <c r="I124" t="s">
        <v>26</v>
      </c>
      <c r="J124" s="3">
        <v>45868.4</v>
      </c>
      <c r="K124">
        <f t="shared" si="12"/>
        <v>7</v>
      </c>
      <c r="L124">
        <v>2025</v>
      </c>
      <c r="M124">
        <v>2025</v>
      </c>
      <c r="N124">
        <v>2025</v>
      </c>
      <c r="O124">
        <v>2025</v>
      </c>
      <c r="P124" t="s">
        <v>27</v>
      </c>
      <c r="Q124" t="s">
        <v>28</v>
      </c>
      <c r="R124" s="2">
        <v>45480</v>
      </c>
      <c r="S124">
        <v>1</v>
      </c>
      <c r="T124" t="s">
        <v>29</v>
      </c>
      <c r="U124" t="s">
        <v>40</v>
      </c>
      <c r="V124" t="s">
        <v>31</v>
      </c>
      <c r="W124" t="s">
        <v>48</v>
      </c>
      <c r="X124" t="s">
        <v>32</v>
      </c>
      <c r="Y124" t="s">
        <v>33</v>
      </c>
      <c r="Z124" t="str">
        <f t="shared" si="13"/>
        <v>0-6</v>
      </c>
      <c r="AA124" t="s">
        <v>583</v>
      </c>
      <c r="AB124">
        <v>79</v>
      </c>
      <c r="AC124" t="str" cm="1">
        <f t="array" ref="AC124">_xlfn.SWITCH(AB124,
79,"Thành phố Hồ Chí Minh",
1,"Thành phố Hà Nội",
35,"Tỉnh Hà Nam",
31,"Thành phố Hải Phòng",
27,"Tỉnh Bắc Ninh",
77,"Tỉnh Bà Rịa - Vũng Tàu",
48,"Thành phố Đà Nẵng",
75,"Tỉnh Đồng Nai",
38,"Tỉnh Thanh Hoá",
82,"Tỉnh Tiền Giang",
74,"Tỉnh Bình Dương",
49,"Tỉnh Quảng Nam",
51,"Tỉnh Quảng Ngãi",
52,"Tỉnh Bình Định",
40,"Tỉnh Nghệ An",
"Không xác định"
)</f>
        <v>Thành phố Hồ Chí Minh</v>
      </c>
      <c r="AD124" t="str">
        <f t="shared" si="9"/>
        <v>80.02%</v>
      </c>
      <c r="AE124" t="s">
        <v>664</v>
      </c>
      <c r="AF124" s="8">
        <f t="shared" si="10"/>
        <v>45868</v>
      </c>
      <c r="AG124" s="8">
        <f>_xlfn.XLOOKUP(AE124, Dev!$A:$A, Dev!$B:$B, "")</f>
        <v>45708</v>
      </c>
      <c r="AH124" s="11">
        <f t="shared" si="11"/>
        <v>160</v>
      </c>
    </row>
    <row r="125" spans="1:34" x14ac:dyDescent="0.3">
      <c r="A125" s="1">
        <v>123</v>
      </c>
      <c r="B125" t="s">
        <v>305</v>
      </c>
      <c r="C125">
        <v>303275</v>
      </c>
      <c r="D125">
        <v>230620</v>
      </c>
      <c r="E125" s="2">
        <v>45866</v>
      </c>
      <c r="G125" t="s">
        <v>190</v>
      </c>
      <c r="H125" t="s">
        <v>191</v>
      </c>
      <c r="I125" t="s">
        <v>26</v>
      </c>
      <c r="J125" s="3">
        <v>45866.48541666667</v>
      </c>
      <c r="K125">
        <f t="shared" si="12"/>
        <v>7</v>
      </c>
      <c r="L125">
        <v>2025</v>
      </c>
      <c r="M125">
        <v>2025</v>
      </c>
      <c r="N125">
        <v>2025</v>
      </c>
      <c r="O125">
        <v>2025</v>
      </c>
      <c r="P125" t="s">
        <v>27</v>
      </c>
      <c r="Q125" t="s">
        <v>28</v>
      </c>
      <c r="R125" s="2">
        <v>45528</v>
      </c>
      <c r="S125">
        <v>1</v>
      </c>
      <c r="T125" t="s">
        <v>29</v>
      </c>
      <c r="U125" t="s">
        <v>40</v>
      </c>
      <c r="V125" t="s">
        <v>31</v>
      </c>
      <c r="W125" t="s">
        <v>191</v>
      </c>
      <c r="X125" t="s">
        <v>32</v>
      </c>
      <c r="Y125" t="s">
        <v>33</v>
      </c>
      <c r="Z125" t="str">
        <f t="shared" si="13"/>
        <v>0-6</v>
      </c>
      <c r="AA125" t="s">
        <v>574</v>
      </c>
      <c r="AB125">
        <v>74</v>
      </c>
      <c r="AC125" t="str" cm="1">
        <f t="array" ref="AC125">_xlfn.SWITCH(AB125,
79,"Thành phố Hồ Chí Minh",
1,"Thành phố Hà Nội",
35,"Tỉnh Hà Nam",
31,"Thành phố Hải Phòng",
27,"Tỉnh Bắc Ninh",
77,"Tỉnh Bà Rịa - Vũng Tàu",
48,"Thành phố Đà Nẵng",
75,"Tỉnh Đồng Nai",
38,"Tỉnh Thanh Hoá",
82,"Tỉnh Tiền Giang",
74,"Tỉnh Bình Dương",
49,"Tỉnh Quảng Nam",
51,"Tỉnh Quảng Ngãi",
52,"Tỉnh Bình Định",
40,"Tỉnh Nghệ An",
"Không xác định"
)</f>
        <v>Tỉnh Bình Dương</v>
      </c>
      <c r="AD125" t="str">
        <f t="shared" si="9"/>
        <v>76.04%</v>
      </c>
      <c r="AE125" t="s">
        <v>655</v>
      </c>
      <c r="AF125" s="8">
        <f t="shared" si="10"/>
        <v>45866</v>
      </c>
      <c r="AG125" s="8">
        <f>_xlfn.XLOOKUP(AE125, Dev!$A:$A, Dev!$B:$B, "")</f>
        <v>45707.436122685183</v>
      </c>
      <c r="AH125" s="11">
        <f t="shared" si="11"/>
        <v>158.56387731481664</v>
      </c>
    </row>
    <row r="126" spans="1:34" x14ac:dyDescent="0.3">
      <c r="A126" s="1">
        <v>124</v>
      </c>
      <c r="B126" t="s">
        <v>306</v>
      </c>
      <c r="C126">
        <v>686787</v>
      </c>
      <c r="D126">
        <v>512709</v>
      </c>
      <c r="E126" s="2">
        <v>45866</v>
      </c>
      <c r="G126" t="s">
        <v>190</v>
      </c>
      <c r="H126" t="s">
        <v>307</v>
      </c>
      <c r="I126" t="s">
        <v>26</v>
      </c>
      <c r="J126" s="3">
        <v>45866.463194444441</v>
      </c>
      <c r="K126">
        <f t="shared" si="12"/>
        <v>7</v>
      </c>
      <c r="L126">
        <v>2025</v>
      </c>
      <c r="M126">
        <v>2025</v>
      </c>
      <c r="N126">
        <v>2025</v>
      </c>
      <c r="O126">
        <v>2025</v>
      </c>
      <c r="P126" t="s">
        <v>27</v>
      </c>
      <c r="Q126" t="s">
        <v>28</v>
      </c>
      <c r="R126" s="2">
        <v>45528</v>
      </c>
      <c r="S126">
        <v>1</v>
      </c>
      <c r="T126" t="s">
        <v>29</v>
      </c>
      <c r="U126" t="s">
        <v>40</v>
      </c>
      <c r="V126" t="s">
        <v>31</v>
      </c>
      <c r="W126" t="s">
        <v>307</v>
      </c>
      <c r="X126" t="s">
        <v>32</v>
      </c>
      <c r="Y126" t="s">
        <v>33</v>
      </c>
      <c r="Z126" t="str">
        <f t="shared" si="13"/>
        <v>0-6</v>
      </c>
      <c r="AA126" t="s">
        <v>574</v>
      </c>
      <c r="AB126">
        <v>74</v>
      </c>
      <c r="AC126" t="str" cm="1">
        <f t="array" ref="AC126">_xlfn.SWITCH(AB126,
79,"Thành phố Hồ Chí Minh",
1,"Thành phố Hà Nội",
35,"Tỉnh Hà Nam",
31,"Thành phố Hải Phòng",
27,"Tỉnh Bắc Ninh",
77,"Tỉnh Bà Rịa - Vũng Tàu",
48,"Thành phố Đà Nẵng",
75,"Tỉnh Đồng Nai",
38,"Tỉnh Thanh Hoá",
82,"Tỉnh Tiền Giang",
74,"Tỉnh Bình Dương",
49,"Tỉnh Quảng Nam",
51,"Tỉnh Quảng Ngãi",
52,"Tỉnh Bình Định",
40,"Tỉnh Nghệ An",
"Không xác định"
)</f>
        <v>Tỉnh Bình Dương</v>
      </c>
      <c r="AD126" t="str">
        <f t="shared" si="9"/>
        <v>74.65%</v>
      </c>
      <c r="AE126" t="s">
        <v>655</v>
      </c>
      <c r="AF126" s="8">
        <f t="shared" si="10"/>
        <v>45866</v>
      </c>
      <c r="AG126" s="8">
        <f>_xlfn.XLOOKUP(AE126, Dev!$A:$A, Dev!$B:$B, "")</f>
        <v>45707.436122685183</v>
      </c>
      <c r="AH126" s="11">
        <f t="shared" si="11"/>
        <v>158.56387731481664</v>
      </c>
    </row>
    <row r="127" spans="1:34" x14ac:dyDescent="0.3">
      <c r="A127" s="1">
        <v>125</v>
      </c>
      <c r="B127" t="s">
        <v>308</v>
      </c>
      <c r="C127">
        <v>790000</v>
      </c>
      <c r="D127">
        <v>360000</v>
      </c>
      <c r="E127" s="2">
        <v>45857</v>
      </c>
      <c r="F127" s="2">
        <v>45857</v>
      </c>
      <c r="G127" t="s">
        <v>92</v>
      </c>
      <c r="H127" t="s">
        <v>309</v>
      </c>
      <c r="I127" t="s">
        <v>26</v>
      </c>
      <c r="J127" s="3">
        <v>45866.462500000001</v>
      </c>
      <c r="K127">
        <f t="shared" si="12"/>
        <v>7</v>
      </c>
      <c r="L127">
        <v>2025</v>
      </c>
      <c r="M127">
        <v>2025</v>
      </c>
      <c r="N127">
        <v>2025</v>
      </c>
      <c r="O127">
        <v>2025</v>
      </c>
      <c r="P127" t="s">
        <v>27</v>
      </c>
      <c r="Q127" t="s">
        <v>28</v>
      </c>
      <c r="R127" s="2">
        <v>45081</v>
      </c>
      <c r="S127">
        <v>2</v>
      </c>
      <c r="T127" t="s">
        <v>29</v>
      </c>
      <c r="U127" t="s">
        <v>40</v>
      </c>
      <c r="V127" t="s">
        <v>31</v>
      </c>
      <c r="W127" t="s">
        <v>497</v>
      </c>
      <c r="X127" t="s">
        <v>41</v>
      </c>
      <c r="Y127" t="s">
        <v>33</v>
      </c>
      <c r="Z127" t="str">
        <f t="shared" si="13"/>
        <v>0-6</v>
      </c>
      <c r="AA127" t="s">
        <v>593</v>
      </c>
      <c r="AB127">
        <v>79</v>
      </c>
      <c r="AC127" t="str" cm="1">
        <f t="array" ref="AC127">_xlfn.SWITCH(AB127,
79,"Thành phố Hồ Chí Minh",
1,"Thành phố Hà Nội",
35,"Tỉnh Hà Nam",
31,"Thành phố Hải Phòng",
27,"Tỉnh Bắc Ninh",
77,"Tỉnh Bà Rịa - Vũng Tàu",
48,"Thành phố Đà Nẵng",
75,"Tỉnh Đồng Nai",
38,"Tỉnh Thanh Hoá",
82,"Tỉnh Tiền Giang",
74,"Tỉnh Bình Dương",
49,"Tỉnh Quảng Nam",
51,"Tỉnh Quảng Ngãi",
52,"Tỉnh Bình Định",
40,"Tỉnh Nghệ An",
"Không xác định"
)</f>
        <v>Thành phố Hồ Chí Minh</v>
      </c>
      <c r="AD127" t="str">
        <f t="shared" si="9"/>
        <v>45.57%</v>
      </c>
      <c r="AE127" t="s">
        <v>674</v>
      </c>
      <c r="AF127" s="8">
        <f t="shared" si="10"/>
        <v>45866</v>
      </c>
      <c r="AG127" s="8">
        <f>_xlfn.XLOOKUP(AE127, Dev!$A:$A, Dev!$B:$B, "")</f>
        <v>45505.385104166664</v>
      </c>
      <c r="AH127" s="11">
        <f t="shared" si="11"/>
        <v>360.61489583333605</v>
      </c>
    </row>
    <row r="128" spans="1:34" x14ac:dyDescent="0.3">
      <c r="A128" s="1">
        <v>126</v>
      </c>
      <c r="B128" t="s">
        <v>310</v>
      </c>
      <c r="C128">
        <v>421000</v>
      </c>
      <c r="D128">
        <v>336800</v>
      </c>
      <c r="E128" s="2">
        <v>45855</v>
      </c>
      <c r="F128" s="2">
        <v>45855</v>
      </c>
      <c r="G128" t="s">
        <v>92</v>
      </c>
      <c r="H128" t="s">
        <v>311</v>
      </c>
      <c r="I128" t="s">
        <v>26</v>
      </c>
      <c r="J128" s="3">
        <v>45866.459027777775</v>
      </c>
      <c r="K128">
        <f t="shared" si="12"/>
        <v>7</v>
      </c>
      <c r="L128">
        <v>2025</v>
      </c>
      <c r="M128">
        <v>2025</v>
      </c>
      <c r="N128">
        <v>2025</v>
      </c>
      <c r="O128">
        <v>2025</v>
      </c>
      <c r="P128" t="s">
        <v>27</v>
      </c>
      <c r="Q128" t="s">
        <v>28</v>
      </c>
      <c r="R128" s="2">
        <v>45081</v>
      </c>
      <c r="S128">
        <v>2</v>
      </c>
      <c r="T128" t="s">
        <v>29</v>
      </c>
      <c r="U128" t="s">
        <v>40</v>
      </c>
      <c r="V128" t="s">
        <v>31</v>
      </c>
      <c r="W128" t="s">
        <v>498</v>
      </c>
      <c r="X128" t="s">
        <v>179</v>
      </c>
      <c r="Y128" t="s">
        <v>33</v>
      </c>
      <c r="Z128" t="str">
        <f t="shared" si="13"/>
        <v>0-6</v>
      </c>
      <c r="AA128" t="s">
        <v>593</v>
      </c>
      <c r="AB128">
        <v>79</v>
      </c>
      <c r="AC128" t="str" cm="1">
        <f t="array" ref="AC128">_xlfn.SWITCH(AB128,
79,"Thành phố Hồ Chí Minh",
1,"Thành phố Hà Nội",
35,"Tỉnh Hà Nam",
31,"Thành phố Hải Phòng",
27,"Tỉnh Bắc Ninh",
77,"Tỉnh Bà Rịa - Vũng Tàu",
48,"Thành phố Đà Nẵng",
75,"Tỉnh Đồng Nai",
38,"Tỉnh Thanh Hoá",
82,"Tỉnh Tiền Giang",
74,"Tỉnh Bình Dương",
49,"Tỉnh Quảng Nam",
51,"Tỉnh Quảng Ngãi",
52,"Tỉnh Bình Định",
40,"Tỉnh Nghệ An",
"Không xác định"
)</f>
        <v>Thành phố Hồ Chí Minh</v>
      </c>
      <c r="AD128" t="str">
        <f t="shared" si="9"/>
        <v>80%</v>
      </c>
      <c r="AE128" t="s">
        <v>674</v>
      </c>
      <c r="AF128" s="8">
        <f t="shared" si="10"/>
        <v>45866</v>
      </c>
      <c r="AG128" s="8">
        <f>_xlfn.XLOOKUP(AE128, Dev!$A:$A, Dev!$B:$B, "")</f>
        <v>45505.385104166664</v>
      </c>
      <c r="AH128" s="11">
        <f t="shared" si="11"/>
        <v>360.61489583333605</v>
      </c>
    </row>
    <row r="129" spans="1:34" x14ac:dyDescent="0.3">
      <c r="A129" s="1">
        <v>127</v>
      </c>
      <c r="B129" t="s">
        <v>312</v>
      </c>
      <c r="C129">
        <v>456894</v>
      </c>
      <c r="D129">
        <v>173515</v>
      </c>
      <c r="E129" s="2">
        <v>45857</v>
      </c>
      <c r="F129" s="2">
        <v>45861</v>
      </c>
      <c r="G129" t="s">
        <v>313</v>
      </c>
      <c r="H129" t="s">
        <v>314</v>
      </c>
      <c r="I129" t="s">
        <v>26</v>
      </c>
      <c r="J129" s="3">
        <v>45866.268055555556</v>
      </c>
      <c r="K129">
        <f t="shared" si="12"/>
        <v>7</v>
      </c>
      <c r="L129">
        <v>2025</v>
      </c>
      <c r="M129">
        <v>2025</v>
      </c>
      <c r="N129">
        <v>2025</v>
      </c>
      <c r="O129">
        <v>2025</v>
      </c>
      <c r="P129" t="s">
        <v>27</v>
      </c>
      <c r="Q129" t="s">
        <v>28</v>
      </c>
      <c r="R129" s="2">
        <v>45569</v>
      </c>
      <c r="S129">
        <v>1</v>
      </c>
      <c r="T129" t="s">
        <v>29</v>
      </c>
      <c r="U129" t="s">
        <v>40</v>
      </c>
      <c r="V129" t="s">
        <v>70</v>
      </c>
      <c r="W129" t="s">
        <v>315</v>
      </c>
      <c r="X129" t="s">
        <v>41</v>
      </c>
      <c r="Y129" t="s">
        <v>33</v>
      </c>
      <c r="Z129" t="str">
        <f t="shared" si="13"/>
        <v>0-6</v>
      </c>
      <c r="AA129" t="s">
        <v>594</v>
      </c>
      <c r="AB129">
        <v>1</v>
      </c>
      <c r="AC129" t="str" cm="1">
        <f t="array" ref="AC129">_xlfn.SWITCH(AB129,
79,"Thành phố Hồ Chí Minh",
1,"Thành phố Hà Nội",
35,"Tỉnh Hà Nam",
31,"Thành phố Hải Phòng",
27,"Tỉnh Bắc Ninh",
77,"Tỉnh Bà Rịa - Vũng Tàu",
48,"Thành phố Đà Nẵng",
75,"Tỉnh Đồng Nai",
38,"Tỉnh Thanh Hoá",
82,"Tỉnh Tiền Giang",
74,"Tỉnh Bình Dương",
49,"Tỉnh Quảng Nam",
51,"Tỉnh Quảng Ngãi",
52,"Tỉnh Bình Định",
40,"Tỉnh Nghệ An",
"Không xác định"
)</f>
        <v>Thành phố Hà Nội</v>
      </c>
      <c r="AD129" t="str">
        <f t="shared" si="9"/>
        <v>37.98%</v>
      </c>
      <c r="AE129" t="s">
        <v>675</v>
      </c>
      <c r="AF129" s="8">
        <f t="shared" si="10"/>
        <v>45866</v>
      </c>
      <c r="AG129" s="8">
        <f>_xlfn.XLOOKUP(AE129, Dev!$A:$A, Dev!$B:$B, "")</f>
        <v>45657.587905092594</v>
      </c>
      <c r="AH129" s="11">
        <f t="shared" si="11"/>
        <v>208.41209490740584</v>
      </c>
    </row>
    <row r="130" spans="1:34" x14ac:dyDescent="0.3">
      <c r="A130" s="1">
        <v>128</v>
      </c>
      <c r="B130" t="s">
        <v>316</v>
      </c>
      <c r="C130">
        <v>540000</v>
      </c>
      <c r="D130">
        <v>480000</v>
      </c>
      <c r="E130" s="2">
        <v>45852</v>
      </c>
      <c r="F130" s="2">
        <v>45860</v>
      </c>
      <c r="G130" t="s">
        <v>317</v>
      </c>
      <c r="H130" t="s">
        <v>168</v>
      </c>
      <c r="I130" t="s">
        <v>26</v>
      </c>
      <c r="J130" s="3">
        <v>45863.732638888891</v>
      </c>
      <c r="K130">
        <f t="shared" ref="K130:K161" si="14">MONTH(J130)</f>
        <v>7</v>
      </c>
      <c r="L130">
        <v>2025</v>
      </c>
      <c r="M130">
        <v>2025</v>
      </c>
      <c r="N130">
        <v>2025</v>
      </c>
      <c r="O130">
        <v>2025</v>
      </c>
      <c r="P130" t="s">
        <v>27</v>
      </c>
      <c r="Q130" t="s">
        <v>28</v>
      </c>
      <c r="R130" s="2">
        <v>45595</v>
      </c>
      <c r="S130">
        <v>0</v>
      </c>
      <c r="T130" t="s">
        <v>29</v>
      </c>
      <c r="U130" t="s">
        <v>30</v>
      </c>
      <c r="V130" t="s">
        <v>55</v>
      </c>
      <c r="W130" t="s">
        <v>168</v>
      </c>
      <c r="X130" t="s">
        <v>32</v>
      </c>
      <c r="Y130" t="s">
        <v>33</v>
      </c>
      <c r="Z130" t="str">
        <f t="shared" ref="Z130:Z161" si="15">IF(S130&lt;=6,"0-6",
IF(S130&lt;=17,"7-17",
IF(S130&lt;=35,"18-35",
IF(S130&lt;=55,"36-55",
"56+"))))</f>
        <v>0-6</v>
      </c>
      <c r="AA130" t="s">
        <v>595</v>
      </c>
      <c r="AB130">
        <v>52</v>
      </c>
      <c r="AC130" t="str" cm="1">
        <f t="array" ref="AC130">_xlfn.SWITCH(AB130,
79,"Thành phố Hồ Chí Minh",
1,"Thành phố Hà Nội",
35,"Tỉnh Hà Nam",
31,"Thành phố Hải Phòng",
27,"Tỉnh Bắc Ninh",
77,"Tỉnh Bà Rịa - Vũng Tàu",
48,"Thành phố Đà Nẵng",
75,"Tỉnh Đồng Nai",
38,"Tỉnh Thanh Hoá",
82,"Tỉnh Tiền Giang",
74,"Tỉnh Bình Dương",
49,"Tỉnh Quảng Nam",
51,"Tỉnh Quảng Ngãi",
52,"Tỉnh Bình Định",
40,"Tỉnh Nghệ An",
"Không xác định"
)</f>
        <v>Tỉnh Bình Định</v>
      </c>
      <c r="AD130" t="str">
        <f t="shared" si="9"/>
        <v>88.89%</v>
      </c>
      <c r="AE130" t="s">
        <v>676</v>
      </c>
      <c r="AF130" s="8">
        <f t="shared" si="10"/>
        <v>45863</v>
      </c>
      <c r="AG130" s="8">
        <f>_xlfn.XLOOKUP(AE130, Dev!$A:$A, Dev!$B:$B, "")</f>
        <v>45793.433275462965</v>
      </c>
      <c r="AH130" s="11">
        <f t="shared" si="11"/>
        <v>69.566724537035043</v>
      </c>
    </row>
    <row r="131" spans="1:34" x14ac:dyDescent="0.3">
      <c r="A131" s="1">
        <v>129</v>
      </c>
      <c r="B131" t="s">
        <v>318</v>
      </c>
      <c r="C131">
        <v>17355098</v>
      </c>
      <c r="D131">
        <v>10462908</v>
      </c>
      <c r="E131" s="2">
        <v>45858</v>
      </c>
      <c r="F131" s="2">
        <v>45862</v>
      </c>
      <c r="G131" t="s">
        <v>92</v>
      </c>
      <c r="H131" t="s">
        <v>319</v>
      </c>
      <c r="I131" t="s">
        <v>26</v>
      </c>
      <c r="J131" s="3">
        <v>45863.397916666669</v>
      </c>
      <c r="K131">
        <f t="shared" si="14"/>
        <v>7</v>
      </c>
      <c r="L131">
        <v>2025</v>
      </c>
      <c r="M131">
        <v>2025</v>
      </c>
      <c r="N131">
        <v>2025</v>
      </c>
      <c r="O131">
        <v>2025</v>
      </c>
      <c r="P131" t="s">
        <v>27</v>
      </c>
      <c r="Q131" t="s">
        <v>28</v>
      </c>
      <c r="R131" s="2">
        <v>45622</v>
      </c>
      <c r="S131">
        <v>0</v>
      </c>
      <c r="T131" t="s">
        <v>29</v>
      </c>
      <c r="U131" t="s">
        <v>40</v>
      </c>
      <c r="V131" t="s">
        <v>70</v>
      </c>
      <c r="W131" t="s">
        <v>499</v>
      </c>
      <c r="X131" t="s">
        <v>32</v>
      </c>
      <c r="Y131" t="s">
        <v>33</v>
      </c>
      <c r="Z131" t="str">
        <f t="shared" si="15"/>
        <v>0-6</v>
      </c>
      <c r="AA131" t="s">
        <v>596</v>
      </c>
      <c r="AB131">
        <v>1</v>
      </c>
      <c r="AC131" t="str" cm="1">
        <f t="array" ref="AC131">_xlfn.SWITCH(AB131,
79,"Thành phố Hồ Chí Minh",
1,"Thành phố Hà Nội",
35,"Tỉnh Hà Nam",
31,"Thành phố Hải Phòng",
27,"Tỉnh Bắc Ninh",
77,"Tỉnh Bà Rịa - Vũng Tàu",
48,"Thành phố Đà Nẵng",
75,"Tỉnh Đồng Nai",
38,"Tỉnh Thanh Hoá",
82,"Tỉnh Tiền Giang",
74,"Tỉnh Bình Dương",
49,"Tỉnh Quảng Nam",
51,"Tỉnh Quảng Ngãi",
52,"Tỉnh Bình Định",
40,"Tỉnh Nghệ An",
"Không xác định"
)</f>
        <v>Thành phố Hà Nội</v>
      </c>
      <c r="AD131" t="str">
        <f t="shared" ref="AD131:AD189" si="16">ROUND((D131/C131)*100, 2) &amp; "%"</f>
        <v>60.29%</v>
      </c>
      <c r="AE131" t="s">
        <v>677</v>
      </c>
      <c r="AF131" s="8">
        <f t="shared" ref="AF131:AF189" si="17">INT(J131)</f>
        <v>45863</v>
      </c>
      <c r="AG131" s="8">
        <f>_xlfn.XLOOKUP(AE131, Dev!$A:$A, Dev!$B:$B, "")</f>
        <v>45754.712905092594</v>
      </c>
      <c r="AH131" s="11">
        <f t="shared" ref="AH131:AH189" si="18">AF131-AG131</f>
        <v>108.28709490740584</v>
      </c>
    </row>
    <row r="132" spans="1:34" x14ac:dyDescent="0.3">
      <c r="A132" s="1">
        <v>130</v>
      </c>
      <c r="B132" t="s">
        <v>320</v>
      </c>
      <c r="C132">
        <v>1843310</v>
      </c>
      <c r="D132">
        <v>960000</v>
      </c>
      <c r="E132" s="2">
        <v>45843</v>
      </c>
      <c r="F132" s="2">
        <v>45843</v>
      </c>
      <c r="G132" t="s">
        <v>313</v>
      </c>
      <c r="H132" t="s">
        <v>321</v>
      </c>
      <c r="I132" t="s">
        <v>26</v>
      </c>
      <c r="J132" s="3">
        <v>45862.925000000003</v>
      </c>
      <c r="K132">
        <f t="shared" si="14"/>
        <v>7</v>
      </c>
      <c r="L132">
        <v>2025</v>
      </c>
      <c r="M132">
        <v>2025</v>
      </c>
      <c r="N132">
        <v>2025</v>
      </c>
      <c r="O132">
        <v>2025</v>
      </c>
      <c r="P132" t="s">
        <v>27</v>
      </c>
      <c r="Q132" t="s">
        <v>28</v>
      </c>
      <c r="R132" s="2">
        <v>44815</v>
      </c>
      <c r="S132">
        <v>3</v>
      </c>
      <c r="T132" t="s">
        <v>29</v>
      </c>
      <c r="U132" t="s">
        <v>40</v>
      </c>
      <c r="V132" t="s">
        <v>31</v>
      </c>
      <c r="W132" t="s">
        <v>500</v>
      </c>
      <c r="X132" t="s">
        <v>179</v>
      </c>
      <c r="Y132" t="s">
        <v>33</v>
      </c>
      <c r="Z132" t="str">
        <f t="shared" si="15"/>
        <v>0-6</v>
      </c>
      <c r="AA132" t="s">
        <v>597</v>
      </c>
      <c r="AB132">
        <v>1</v>
      </c>
      <c r="AC132" t="str" cm="1">
        <f t="array" ref="AC132">_xlfn.SWITCH(AB132,
79,"Thành phố Hồ Chí Minh",
1,"Thành phố Hà Nội",
35,"Tỉnh Hà Nam",
31,"Thành phố Hải Phòng",
27,"Tỉnh Bắc Ninh",
77,"Tỉnh Bà Rịa - Vũng Tàu",
48,"Thành phố Đà Nẵng",
75,"Tỉnh Đồng Nai",
38,"Tỉnh Thanh Hoá",
82,"Tỉnh Tiền Giang",
74,"Tỉnh Bình Dương",
49,"Tỉnh Quảng Nam",
51,"Tỉnh Quảng Ngãi",
52,"Tỉnh Bình Định",
40,"Tỉnh Nghệ An",
"Không xác định"
)</f>
        <v>Thành phố Hà Nội</v>
      </c>
      <c r="AD132" t="str">
        <f t="shared" si="16"/>
        <v>52.08%</v>
      </c>
      <c r="AE132" t="s">
        <v>678</v>
      </c>
      <c r="AF132" s="8">
        <f t="shared" si="17"/>
        <v>45862</v>
      </c>
      <c r="AG132" s="8">
        <f>_xlfn.XLOOKUP(AE132, Dev!$A:$A, Dev!$B:$B, "")</f>
        <v>45769.478807870371</v>
      </c>
      <c r="AH132" s="11">
        <f t="shared" si="18"/>
        <v>92.521192129628616</v>
      </c>
    </row>
    <row r="133" spans="1:34" x14ac:dyDescent="0.3">
      <c r="A133" s="1">
        <v>131</v>
      </c>
      <c r="B133" t="s">
        <v>322</v>
      </c>
      <c r="C133">
        <v>760200</v>
      </c>
      <c r="D133">
        <v>608160</v>
      </c>
      <c r="E133" s="2">
        <v>45857</v>
      </c>
      <c r="F133" s="2">
        <v>45857</v>
      </c>
      <c r="G133" t="s">
        <v>24</v>
      </c>
      <c r="H133" t="s">
        <v>323</v>
      </c>
      <c r="I133" t="s">
        <v>26</v>
      </c>
      <c r="J133" s="3">
        <v>45862.907638888886</v>
      </c>
      <c r="K133">
        <f t="shared" si="14"/>
        <v>7</v>
      </c>
      <c r="L133">
        <v>2025</v>
      </c>
      <c r="M133">
        <v>2025</v>
      </c>
      <c r="N133">
        <v>2025</v>
      </c>
      <c r="O133">
        <v>2025</v>
      </c>
      <c r="P133" t="s">
        <v>27</v>
      </c>
      <c r="Q133" t="s">
        <v>28</v>
      </c>
      <c r="R133" s="2">
        <v>45656</v>
      </c>
      <c r="S133">
        <v>0</v>
      </c>
      <c r="T133" t="s">
        <v>29</v>
      </c>
      <c r="U133" t="s">
        <v>40</v>
      </c>
      <c r="V133" t="s">
        <v>31</v>
      </c>
      <c r="W133" t="s">
        <v>99</v>
      </c>
      <c r="X133" t="s">
        <v>32</v>
      </c>
      <c r="Y133" t="s">
        <v>33</v>
      </c>
      <c r="Z133" t="str">
        <f t="shared" si="15"/>
        <v>0-6</v>
      </c>
      <c r="AA133" t="s">
        <v>575</v>
      </c>
      <c r="AB133">
        <v>82</v>
      </c>
      <c r="AC133" t="str" cm="1">
        <f t="array" ref="AC133">_xlfn.SWITCH(AB133,
79,"Thành phố Hồ Chí Minh",
1,"Thành phố Hà Nội",
35,"Tỉnh Hà Nam",
31,"Thành phố Hải Phòng",
27,"Tỉnh Bắc Ninh",
77,"Tỉnh Bà Rịa - Vũng Tàu",
48,"Thành phố Đà Nẵng",
75,"Tỉnh Đồng Nai",
38,"Tỉnh Thanh Hoá",
82,"Tỉnh Tiền Giang",
74,"Tỉnh Bình Dương",
49,"Tỉnh Quảng Nam",
51,"Tỉnh Quảng Ngãi",
52,"Tỉnh Bình Định",
40,"Tỉnh Nghệ An",
"Không xác định"
)</f>
        <v>Tỉnh Tiền Giang</v>
      </c>
      <c r="AD133" t="str">
        <f t="shared" si="16"/>
        <v>80%</v>
      </c>
      <c r="AE133" t="s">
        <v>656</v>
      </c>
      <c r="AF133" s="8">
        <f t="shared" si="17"/>
        <v>45862</v>
      </c>
      <c r="AG133" s="8">
        <f>_xlfn.XLOOKUP(AE133, Dev!$A:$A, Dev!$B:$B, "")</f>
        <v>45710.518067129633</v>
      </c>
      <c r="AH133" s="11">
        <f t="shared" si="18"/>
        <v>151.48193287036702</v>
      </c>
    </row>
    <row r="134" spans="1:34" x14ac:dyDescent="0.3">
      <c r="A134" s="1">
        <v>132</v>
      </c>
      <c r="B134" t="s">
        <v>324</v>
      </c>
      <c r="C134">
        <v>1605436</v>
      </c>
      <c r="D134">
        <v>1200000</v>
      </c>
      <c r="E134" s="2">
        <v>45855</v>
      </c>
      <c r="F134" s="2">
        <v>45855</v>
      </c>
      <c r="G134" t="s">
        <v>45</v>
      </c>
      <c r="H134" t="s">
        <v>86</v>
      </c>
      <c r="I134" t="s">
        <v>26</v>
      </c>
      <c r="J134" s="3">
        <v>45862.603472222225</v>
      </c>
      <c r="K134">
        <f t="shared" si="14"/>
        <v>7</v>
      </c>
      <c r="L134">
        <v>2025</v>
      </c>
      <c r="M134">
        <v>2025</v>
      </c>
      <c r="N134">
        <v>2025</v>
      </c>
      <c r="O134">
        <v>2025</v>
      </c>
      <c r="P134" t="s">
        <v>27</v>
      </c>
      <c r="Q134" t="s">
        <v>28</v>
      </c>
      <c r="R134" s="2">
        <v>45187</v>
      </c>
      <c r="S134">
        <v>2</v>
      </c>
      <c r="T134" t="s">
        <v>29</v>
      </c>
      <c r="U134" t="s">
        <v>40</v>
      </c>
      <c r="V134" t="s">
        <v>31</v>
      </c>
      <c r="W134" t="s">
        <v>168</v>
      </c>
      <c r="X134" t="s">
        <v>32</v>
      </c>
      <c r="Y134" t="s">
        <v>33</v>
      </c>
      <c r="Z134" t="str">
        <f t="shared" si="15"/>
        <v>0-6</v>
      </c>
      <c r="AA134" t="s">
        <v>562</v>
      </c>
      <c r="AB134">
        <v>1</v>
      </c>
      <c r="AC134" t="str" cm="1">
        <f t="array" ref="AC134">_xlfn.SWITCH(AB134,
79,"Thành phố Hồ Chí Minh",
1,"Thành phố Hà Nội",
35,"Tỉnh Hà Nam",
31,"Thành phố Hải Phòng",
27,"Tỉnh Bắc Ninh",
77,"Tỉnh Bà Rịa - Vũng Tàu",
48,"Thành phố Đà Nẵng",
75,"Tỉnh Đồng Nai",
38,"Tỉnh Thanh Hoá",
82,"Tỉnh Tiền Giang",
74,"Tỉnh Bình Dương",
49,"Tỉnh Quảng Nam",
51,"Tỉnh Quảng Ngãi",
52,"Tỉnh Bình Định",
40,"Tỉnh Nghệ An",
"Không xác định"
)</f>
        <v>Thành phố Hà Nội</v>
      </c>
      <c r="AD134" t="str">
        <f t="shared" si="16"/>
        <v>74.75%</v>
      </c>
      <c r="AE134" t="s">
        <v>643</v>
      </c>
      <c r="AF134" s="8">
        <f t="shared" si="17"/>
        <v>45862</v>
      </c>
      <c r="AG134" s="8">
        <f>_xlfn.XLOOKUP(AE134, Dev!$A:$A, Dev!$B:$B, "")</f>
        <v>45612</v>
      </c>
      <c r="AH134" s="11">
        <f t="shared" si="18"/>
        <v>250</v>
      </c>
    </row>
    <row r="135" spans="1:34" x14ac:dyDescent="0.3">
      <c r="A135" s="1">
        <v>133</v>
      </c>
      <c r="B135" t="s">
        <v>325</v>
      </c>
      <c r="C135">
        <v>1630156</v>
      </c>
      <c r="D135">
        <v>1200000</v>
      </c>
      <c r="E135" s="2">
        <v>45855</v>
      </c>
      <c r="F135" s="2">
        <v>45855</v>
      </c>
      <c r="G135" t="s">
        <v>45</v>
      </c>
      <c r="H135" t="s">
        <v>122</v>
      </c>
      <c r="I135" t="s">
        <v>26</v>
      </c>
      <c r="J135" s="3">
        <v>45862.602083333331</v>
      </c>
      <c r="K135">
        <f t="shared" si="14"/>
        <v>7</v>
      </c>
      <c r="L135">
        <v>2025</v>
      </c>
      <c r="M135">
        <v>2025</v>
      </c>
      <c r="N135">
        <v>2025</v>
      </c>
      <c r="O135">
        <v>2025</v>
      </c>
      <c r="P135" t="s">
        <v>27</v>
      </c>
      <c r="Q135" t="s">
        <v>28</v>
      </c>
      <c r="R135" s="2">
        <v>45187</v>
      </c>
      <c r="S135">
        <v>2</v>
      </c>
      <c r="T135" t="s">
        <v>29</v>
      </c>
      <c r="U135" t="s">
        <v>30</v>
      </c>
      <c r="V135" t="s">
        <v>31</v>
      </c>
      <c r="W135" t="s">
        <v>457</v>
      </c>
      <c r="X135" t="s">
        <v>32</v>
      </c>
      <c r="Y135" t="s">
        <v>33</v>
      </c>
      <c r="Z135" t="str">
        <f t="shared" si="15"/>
        <v>0-6</v>
      </c>
      <c r="AA135" t="s">
        <v>563</v>
      </c>
      <c r="AB135">
        <v>1</v>
      </c>
      <c r="AC135" t="str" cm="1">
        <f t="array" ref="AC135">_xlfn.SWITCH(AB135,
79,"Thành phố Hồ Chí Minh",
1,"Thành phố Hà Nội",
35,"Tỉnh Hà Nam",
31,"Thành phố Hải Phòng",
27,"Tỉnh Bắc Ninh",
77,"Tỉnh Bà Rịa - Vũng Tàu",
48,"Thành phố Đà Nẵng",
75,"Tỉnh Đồng Nai",
38,"Tỉnh Thanh Hoá",
82,"Tỉnh Tiền Giang",
74,"Tỉnh Bình Dương",
49,"Tỉnh Quảng Nam",
51,"Tỉnh Quảng Ngãi",
52,"Tỉnh Bình Định",
40,"Tỉnh Nghệ An",
"Không xác định"
)</f>
        <v>Thành phố Hà Nội</v>
      </c>
      <c r="AD135" t="str">
        <f t="shared" si="16"/>
        <v>73.61%</v>
      </c>
      <c r="AE135" t="s">
        <v>644</v>
      </c>
      <c r="AF135" s="8">
        <f t="shared" si="17"/>
        <v>45862</v>
      </c>
      <c r="AG135" s="8">
        <f>_xlfn.XLOOKUP(AE135, Dev!$A:$A, Dev!$B:$B, "")</f>
        <v>45612</v>
      </c>
      <c r="AH135" s="11">
        <f t="shared" si="18"/>
        <v>250</v>
      </c>
    </row>
    <row r="136" spans="1:34" x14ac:dyDescent="0.3">
      <c r="A136" s="1">
        <v>134</v>
      </c>
      <c r="B136" t="s">
        <v>326</v>
      </c>
      <c r="C136">
        <v>531000</v>
      </c>
      <c r="D136">
        <v>424800</v>
      </c>
      <c r="E136" s="2">
        <v>45858</v>
      </c>
      <c r="F136" s="2">
        <v>45858</v>
      </c>
      <c r="G136" t="s">
        <v>110</v>
      </c>
      <c r="H136" t="s">
        <v>327</v>
      </c>
      <c r="I136" t="s">
        <v>26</v>
      </c>
      <c r="J136" s="3">
        <v>45862.557638888888</v>
      </c>
      <c r="K136">
        <f t="shared" si="14"/>
        <v>7</v>
      </c>
      <c r="L136">
        <v>2025</v>
      </c>
      <c r="M136">
        <v>2025</v>
      </c>
      <c r="N136">
        <v>2025</v>
      </c>
      <c r="O136">
        <v>2025</v>
      </c>
      <c r="P136" t="s">
        <v>27</v>
      </c>
      <c r="Q136" t="s">
        <v>28</v>
      </c>
      <c r="R136" s="2">
        <v>45551</v>
      </c>
      <c r="S136">
        <v>1</v>
      </c>
      <c r="T136" t="s">
        <v>29</v>
      </c>
      <c r="U136" t="s">
        <v>40</v>
      </c>
      <c r="V136" t="s">
        <v>31</v>
      </c>
      <c r="W136" t="s">
        <v>327</v>
      </c>
      <c r="X136" t="s">
        <v>36</v>
      </c>
      <c r="Y136" t="s">
        <v>33</v>
      </c>
      <c r="Z136" t="str">
        <f t="shared" si="15"/>
        <v>0-6</v>
      </c>
      <c r="AA136" t="s">
        <v>588</v>
      </c>
      <c r="AB136">
        <v>1</v>
      </c>
      <c r="AC136" t="str" cm="1">
        <f t="array" ref="AC136">_xlfn.SWITCH(AB136,
79,"Thành phố Hồ Chí Minh",
1,"Thành phố Hà Nội",
35,"Tỉnh Hà Nam",
31,"Thành phố Hải Phòng",
27,"Tỉnh Bắc Ninh",
77,"Tỉnh Bà Rịa - Vũng Tàu",
48,"Thành phố Đà Nẵng",
75,"Tỉnh Đồng Nai",
38,"Tỉnh Thanh Hoá",
82,"Tỉnh Tiền Giang",
74,"Tỉnh Bình Dương",
49,"Tỉnh Quảng Nam",
51,"Tỉnh Quảng Ngãi",
52,"Tỉnh Bình Định",
40,"Tỉnh Nghệ An",
"Không xác định"
)</f>
        <v>Thành phố Hà Nội</v>
      </c>
      <c r="AD136" t="str">
        <f t="shared" si="16"/>
        <v>80%</v>
      </c>
      <c r="AE136" t="s">
        <v>669</v>
      </c>
      <c r="AF136" s="8">
        <f t="shared" si="17"/>
        <v>45862</v>
      </c>
      <c r="AG136" s="8">
        <f>_xlfn.XLOOKUP(AE136, Dev!$A:$A, Dev!$B:$B, "")</f>
        <v>45751.516053240739</v>
      </c>
      <c r="AH136" s="11">
        <f t="shared" si="18"/>
        <v>110.48394675926102</v>
      </c>
    </row>
    <row r="137" spans="1:34" x14ac:dyDescent="0.3">
      <c r="A137" s="1">
        <v>135</v>
      </c>
      <c r="B137" t="s">
        <v>328</v>
      </c>
      <c r="C137">
        <v>739764</v>
      </c>
      <c r="D137">
        <v>734764</v>
      </c>
      <c r="E137" s="2">
        <v>45861</v>
      </c>
      <c r="G137" t="s">
        <v>41</v>
      </c>
      <c r="H137" t="s">
        <v>122</v>
      </c>
      <c r="I137" t="s">
        <v>26</v>
      </c>
      <c r="J137" s="3">
        <v>45861.938888888886</v>
      </c>
      <c r="K137">
        <f t="shared" si="14"/>
        <v>7</v>
      </c>
      <c r="L137">
        <v>2025</v>
      </c>
      <c r="M137">
        <v>2025</v>
      </c>
      <c r="N137">
        <v>2025</v>
      </c>
      <c r="O137">
        <v>2025</v>
      </c>
      <c r="P137" t="s">
        <v>27</v>
      </c>
      <c r="Q137" t="s">
        <v>28</v>
      </c>
      <c r="R137" s="2">
        <v>45196</v>
      </c>
      <c r="S137">
        <v>2</v>
      </c>
      <c r="T137" t="s">
        <v>29</v>
      </c>
      <c r="U137" t="s">
        <v>40</v>
      </c>
      <c r="V137" t="s">
        <v>31</v>
      </c>
      <c r="W137" t="s">
        <v>457</v>
      </c>
      <c r="X137" t="s">
        <v>32</v>
      </c>
      <c r="Y137" t="s">
        <v>33</v>
      </c>
      <c r="Z137" t="str">
        <f t="shared" si="15"/>
        <v>0-6</v>
      </c>
      <c r="AA137" t="s">
        <v>598</v>
      </c>
      <c r="AB137">
        <v>79</v>
      </c>
      <c r="AC137" t="str" cm="1">
        <f t="array" ref="AC137">_xlfn.SWITCH(AB137,
79,"Thành phố Hồ Chí Minh",
1,"Thành phố Hà Nội",
35,"Tỉnh Hà Nam",
31,"Thành phố Hải Phòng",
27,"Tỉnh Bắc Ninh",
77,"Tỉnh Bà Rịa - Vũng Tàu",
48,"Thành phố Đà Nẵng",
75,"Tỉnh Đồng Nai",
38,"Tỉnh Thanh Hoá",
82,"Tỉnh Tiền Giang",
74,"Tỉnh Bình Dương",
49,"Tỉnh Quảng Nam",
51,"Tỉnh Quảng Ngãi",
52,"Tỉnh Bình Định",
40,"Tỉnh Nghệ An",
"Không xác định"
)</f>
        <v>Thành phố Hồ Chí Minh</v>
      </c>
      <c r="AD137" t="str">
        <f t="shared" si="16"/>
        <v>99.32%</v>
      </c>
      <c r="AE137" t="s">
        <v>679</v>
      </c>
      <c r="AF137" s="8">
        <f t="shared" si="17"/>
        <v>45861</v>
      </c>
      <c r="AG137" s="8">
        <f>_xlfn.XLOOKUP(AE137, Dev!$A:$A, Dev!$B:$B, "")</f>
        <v>45809.488657407404</v>
      </c>
      <c r="AH137" s="11">
        <f t="shared" si="18"/>
        <v>51.511342592595611</v>
      </c>
    </row>
    <row r="138" spans="1:34" x14ac:dyDescent="0.3">
      <c r="A138" s="1">
        <v>136</v>
      </c>
      <c r="B138" t="s">
        <v>329</v>
      </c>
      <c r="C138">
        <v>31000000</v>
      </c>
      <c r="D138">
        <v>23673543</v>
      </c>
      <c r="E138" s="2">
        <v>45842</v>
      </c>
      <c r="F138" s="2">
        <v>45855</v>
      </c>
      <c r="G138" t="s">
        <v>38</v>
      </c>
      <c r="H138" t="s">
        <v>330</v>
      </c>
      <c r="I138" t="s">
        <v>26</v>
      </c>
      <c r="J138" s="3">
        <v>45861.625</v>
      </c>
      <c r="K138">
        <f t="shared" si="14"/>
        <v>7</v>
      </c>
      <c r="L138">
        <v>2025</v>
      </c>
      <c r="M138">
        <v>2025</v>
      </c>
      <c r="N138">
        <v>2025</v>
      </c>
      <c r="O138">
        <v>2025</v>
      </c>
      <c r="P138" t="s">
        <v>27</v>
      </c>
      <c r="Q138" t="s">
        <v>28</v>
      </c>
      <c r="R138" s="2">
        <v>45714</v>
      </c>
      <c r="S138">
        <v>0</v>
      </c>
      <c r="T138" t="s">
        <v>29</v>
      </c>
      <c r="U138" t="s">
        <v>30</v>
      </c>
      <c r="V138" t="s">
        <v>70</v>
      </c>
      <c r="W138" t="s">
        <v>501</v>
      </c>
      <c r="X138" t="s">
        <v>41</v>
      </c>
      <c r="Y138" t="s">
        <v>33</v>
      </c>
      <c r="Z138" t="str">
        <f t="shared" si="15"/>
        <v>0-6</v>
      </c>
      <c r="AA138" t="s">
        <v>599</v>
      </c>
      <c r="AB138">
        <v>31</v>
      </c>
      <c r="AC138" t="str" cm="1">
        <f t="array" ref="AC138">_xlfn.SWITCH(AB138,
79,"Thành phố Hồ Chí Minh",
1,"Thành phố Hà Nội",
35,"Tỉnh Hà Nam",
31,"Thành phố Hải Phòng",
27,"Tỉnh Bắc Ninh",
77,"Tỉnh Bà Rịa - Vũng Tàu",
48,"Thành phố Đà Nẵng",
75,"Tỉnh Đồng Nai",
38,"Tỉnh Thanh Hoá",
82,"Tỉnh Tiền Giang",
74,"Tỉnh Bình Dương",
49,"Tỉnh Quảng Nam",
51,"Tỉnh Quảng Ngãi",
52,"Tỉnh Bình Định",
40,"Tỉnh Nghệ An",
"Không xác định"
)</f>
        <v>Thành phố Hải Phòng</v>
      </c>
      <c r="AD138" t="str">
        <f t="shared" si="16"/>
        <v>76.37%</v>
      </c>
      <c r="AE138" t="s">
        <v>680</v>
      </c>
      <c r="AF138" s="8">
        <f t="shared" si="17"/>
        <v>45861</v>
      </c>
      <c r="AG138" s="8">
        <f>_xlfn.XLOOKUP(AE138, Dev!$A:$A, Dev!$B:$B, "")</f>
        <v>45745.495810185188</v>
      </c>
      <c r="AH138" s="11">
        <f t="shared" si="18"/>
        <v>115.50418981481198</v>
      </c>
    </row>
    <row r="139" spans="1:34" x14ac:dyDescent="0.3">
      <c r="A139" s="1">
        <v>137</v>
      </c>
      <c r="B139" t="s">
        <v>331</v>
      </c>
      <c r="C139">
        <v>1851055</v>
      </c>
      <c r="D139">
        <v>800000</v>
      </c>
      <c r="E139" s="2">
        <v>45857</v>
      </c>
      <c r="F139" s="2">
        <v>45857</v>
      </c>
      <c r="G139" t="s">
        <v>258</v>
      </c>
      <c r="H139" t="s">
        <v>332</v>
      </c>
      <c r="I139" t="s">
        <v>26</v>
      </c>
      <c r="J139" s="3">
        <v>45861.01666666667</v>
      </c>
      <c r="K139">
        <f t="shared" si="14"/>
        <v>7</v>
      </c>
      <c r="L139">
        <v>2025</v>
      </c>
      <c r="M139">
        <v>2025</v>
      </c>
      <c r="N139">
        <v>2025</v>
      </c>
      <c r="O139">
        <v>2025</v>
      </c>
      <c r="P139" t="s">
        <v>27</v>
      </c>
      <c r="Q139" t="s">
        <v>28</v>
      </c>
      <c r="R139" s="2">
        <v>45590</v>
      </c>
      <c r="S139">
        <v>0</v>
      </c>
      <c r="T139" t="s">
        <v>29</v>
      </c>
      <c r="U139" t="s">
        <v>40</v>
      </c>
      <c r="V139" t="s">
        <v>31</v>
      </c>
      <c r="W139" t="s">
        <v>332</v>
      </c>
      <c r="X139" t="s">
        <v>179</v>
      </c>
      <c r="Y139" t="s">
        <v>33</v>
      </c>
      <c r="Z139" t="str">
        <f t="shared" si="15"/>
        <v>0-6</v>
      </c>
      <c r="AA139" t="s">
        <v>586</v>
      </c>
      <c r="AB139">
        <v>1</v>
      </c>
      <c r="AC139" t="str" cm="1">
        <f t="array" ref="AC139">_xlfn.SWITCH(AB139,
79,"Thành phố Hồ Chí Minh",
1,"Thành phố Hà Nội",
35,"Tỉnh Hà Nam",
31,"Thành phố Hải Phòng",
27,"Tỉnh Bắc Ninh",
77,"Tỉnh Bà Rịa - Vũng Tàu",
48,"Thành phố Đà Nẵng",
75,"Tỉnh Đồng Nai",
38,"Tỉnh Thanh Hoá",
82,"Tỉnh Tiền Giang",
74,"Tỉnh Bình Dương",
49,"Tỉnh Quảng Nam",
51,"Tỉnh Quảng Ngãi",
52,"Tỉnh Bình Định",
40,"Tỉnh Nghệ An",
"Không xác định"
)</f>
        <v>Thành phố Hà Nội</v>
      </c>
      <c r="AD139" t="str">
        <f t="shared" si="16"/>
        <v>43.22%</v>
      </c>
      <c r="AE139" t="s">
        <v>667</v>
      </c>
      <c r="AF139" s="8">
        <f t="shared" si="17"/>
        <v>45861</v>
      </c>
      <c r="AG139" s="8">
        <f>_xlfn.XLOOKUP(AE139, Dev!$A:$A, Dev!$B:$B, "")</f>
        <v>45727.475266203706</v>
      </c>
      <c r="AH139" s="11">
        <f t="shared" si="18"/>
        <v>133.52473379629373</v>
      </c>
    </row>
    <row r="140" spans="1:34" x14ac:dyDescent="0.3">
      <c r="A140" s="1">
        <v>138</v>
      </c>
      <c r="B140" t="s">
        <v>333</v>
      </c>
      <c r="C140">
        <v>1618000</v>
      </c>
      <c r="D140">
        <v>893000</v>
      </c>
      <c r="E140" s="2">
        <v>45860</v>
      </c>
      <c r="G140" t="s">
        <v>45</v>
      </c>
      <c r="H140" t="s">
        <v>334</v>
      </c>
      <c r="I140" t="s">
        <v>26</v>
      </c>
      <c r="J140" s="3">
        <v>45860.918055555558</v>
      </c>
      <c r="K140">
        <f t="shared" si="14"/>
        <v>7</v>
      </c>
      <c r="L140">
        <v>2025</v>
      </c>
      <c r="M140">
        <v>2025</v>
      </c>
      <c r="N140">
        <v>2025</v>
      </c>
      <c r="O140">
        <v>2025</v>
      </c>
      <c r="P140" t="s">
        <v>27</v>
      </c>
      <c r="Q140" t="s">
        <v>28</v>
      </c>
      <c r="R140" s="2">
        <v>45283</v>
      </c>
      <c r="S140">
        <v>1</v>
      </c>
      <c r="T140" t="s">
        <v>29</v>
      </c>
      <c r="U140" t="s">
        <v>40</v>
      </c>
      <c r="V140" t="s">
        <v>31</v>
      </c>
      <c r="W140" t="s">
        <v>502</v>
      </c>
      <c r="X140" t="s">
        <v>36</v>
      </c>
      <c r="Y140" t="s">
        <v>33</v>
      </c>
      <c r="Z140" t="str">
        <f t="shared" si="15"/>
        <v>0-6</v>
      </c>
      <c r="AA140" t="s">
        <v>538</v>
      </c>
      <c r="AB140">
        <v>35</v>
      </c>
      <c r="AC140" t="str" cm="1">
        <f t="array" ref="AC140">_xlfn.SWITCH(AB140,
79,"Thành phố Hồ Chí Minh",
1,"Thành phố Hà Nội",
35,"Tỉnh Hà Nam",
31,"Thành phố Hải Phòng",
27,"Tỉnh Bắc Ninh",
77,"Tỉnh Bà Rịa - Vũng Tàu",
48,"Thành phố Đà Nẵng",
75,"Tỉnh Đồng Nai",
38,"Tỉnh Thanh Hoá",
82,"Tỉnh Tiền Giang",
74,"Tỉnh Bình Dương",
49,"Tỉnh Quảng Nam",
51,"Tỉnh Quảng Ngãi",
52,"Tỉnh Bình Định",
40,"Tỉnh Nghệ An",
"Không xác định"
)</f>
        <v>Tỉnh Hà Nam</v>
      </c>
      <c r="AD140" t="str">
        <f t="shared" si="16"/>
        <v>55.19%</v>
      </c>
      <c r="AE140" t="s">
        <v>619</v>
      </c>
      <c r="AF140" s="8">
        <f t="shared" si="17"/>
        <v>45860</v>
      </c>
      <c r="AG140" s="8">
        <f>_xlfn.XLOOKUP(AE140, Dev!$A:$A, Dev!$B:$B, "")</f>
        <v>45723.677615740744</v>
      </c>
      <c r="AH140" s="11">
        <f t="shared" si="18"/>
        <v>136.32238425925607</v>
      </c>
    </row>
    <row r="141" spans="1:34" x14ac:dyDescent="0.3">
      <c r="A141" s="1">
        <v>139</v>
      </c>
      <c r="B141" t="s">
        <v>335</v>
      </c>
      <c r="C141">
        <v>232500</v>
      </c>
      <c r="D141">
        <v>186000</v>
      </c>
      <c r="E141" s="2">
        <v>45854</v>
      </c>
      <c r="F141" s="2">
        <v>45854</v>
      </c>
      <c r="G141" t="s">
        <v>113</v>
      </c>
      <c r="H141" t="s">
        <v>336</v>
      </c>
      <c r="I141" t="s">
        <v>26</v>
      </c>
      <c r="J141" s="3">
        <v>45860.725694444445</v>
      </c>
      <c r="K141">
        <f t="shared" si="14"/>
        <v>7</v>
      </c>
      <c r="L141">
        <v>2025</v>
      </c>
      <c r="M141">
        <v>2025</v>
      </c>
      <c r="N141">
        <v>2025</v>
      </c>
      <c r="O141">
        <v>2025</v>
      </c>
      <c r="P141" t="s">
        <v>27</v>
      </c>
      <c r="Q141" t="s">
        <v>28</v>
      </c>
      <c r="R141" s="2">
        <v>44269</v>
      </c>
      <c r="S141">
        <v>4</v>
      </c>
      <c r="T141" t="s">
        <v>29</v>
      </c>
      <c r="U141" t="s">
        <v>40</v>
      </c>
      <c r="V141" t="s">
        <v>31</v>
      </c>
      <c r="W141" t="s">
        <v>336</v>
      </c>
      <c r="X141" t="s">
        <v>32</v>
      </c>
      <c r="Y141" t="s">
        <v>33</v>
      </c>
      <c r="Z141" t="str">
        <f t="shared" si="15"/>
        <v>0-6</v>
      </c>
      <c r="AA141" t="s">
        <v>539</v>
      </c>
      <c r="AB141">
        <v>79</v>
      </c>
      <c r="AC141" t="str" cm="1">
        <f t="array" ref="AC141">_xlfn.SWITCH(AB141,
79,"Thành phố Hồ Chí Minh",
1,"Thành phố Hà Nội",
35,"Tỉnh Hà Nam",
31,"Thành phố Hải Phòng",
27,"Tỉnh Bắc Ninh",
77,"Tỉnh Bà Rịa - Vũng Tàu",
48,"Thành phố Đà Nẵng",
75,"Tỉnh Đồng Nai",
38,"Tỉnh Thanh Hoá",
82,"Tỉnh Tiền Giang",
74,"Tỉnh Bình Dương",
49,"Tỉnh Quảng Nam",
51,"Tỉnh Quảng Ngãi",
52,"Tỉnh Bình Định",
40,"Tỉnh Nghệ An",
"Không xác định"
)</f>
        <v>Thành phố Hồ Chí Minh</v>
      </c>
      <c r="AD141" t="str">
        <f t="shared" si="16"/>
        <v>80%</v>
      </c>
      <c r="AE141" t="s">
        <v>620</v>
      </c>
      <c r="AF141" s="8">
        <f t="shared" si="17"/>
        <v>45860</v>
      </c>
      <c r="AG141" s="8">
        <f>_xlfn.XLOOKUP(AE141, Dev!$A:$A, Dev!$B:$B, "")</f>
        <v>45689</v>
      </c>
      <c r="AH141" s="11">
        <f t="shared" si="18"/>
        <v>171</v>
      </c>
    </row>
    <row r="142" spans="1:34" x14ac:dyDescent="0.3">
      <c r="A142" s="1">
        <v>140</v>
      </c>
      <c r="B142" t="s">
        <v>337</v>
      </c>
      <c r="C142">
        <v>434500</v>
      </c>
      <c r="D142">
        <v>279200</v>
      </c>
      <c r="E142" s="2">
        <v>45851</v>
      </c>
      <c r="F142" s="2">
        <v>45851</v>
      </c>
      <c r="G142" t="s">
        <v>113</v>
      </c>
      <c r="H142" t="s">
        <v>213</v>
      </c>
      <c r="I142" t="s">
        <v>26</v>
      </c>
      <c r="J142" s="3">
        <v>45860.722916666666</v>
      </c>
      <c r="K142">
        <f t="shared" si="14"/>
        <v>7</v>
      </c>
      <c r="L142">
        <v>2025</v>
      </c>
      <c r="M142">
        <v>2025</v>
      </c>
      <c r="N142">
        <v>2025</v>
      </c>
      <c r="O142">
        <v>2025</v>
      </c>
      <c r="P142" t="s">
        <v>27</v>
      </c>
      <c r="Q142" t="s">
        <v>28</v>
      </c>
      <c r="R142" s="2">
        <v>44269</v>
      </c>
      <c r="S142">
        <v>4</v>
      </c>
      <c r="T142" t="s">
        <v>29</v>
      </c>
      <c r="U142" t="s">
        <v>40</v>
      </c>
      <c r="V142" t="s">
        <v>31</v>
      </c>
      <c r="W142" t="s">
        <v>213</v>
      </c>
      <c r="X142" t="s">
        <v>32</v>
      </c>
      <c r="Y142" t="s">
        <v>33</v>
      </c>
      <c r="Z142" t="str">
        <f t="shared" si="15"/>
        <v>0-6</v>
      </c>
      <c r="AA142" t="s">
        <v>539</v>
      </c>
      <c r="AB142">
        <v>79</v>
      </c>
      <c r="AC142" t="str" cm="1">
        <f t="array" ref="AC142">_xlfn.SWITCH(AB142,
79,"Thành phố Hồ Chí Minh",
1,"Thành phố Hà Nội",
35,"Tỉnh Hà Nam",
31,"Thành phố Hải Phòng",
27,"Tỉnh Bắc Ninh",
77,"Tỉnh Bà Rịa - Vũng Tàu",
48,"Thành phố Đà Nẵng",
75,"Tỉnh Đồng Nai",
38,"Tỉnh Thanh Hoá",
82,"Tỉnh Tiền Giang",
74,"Tỉnh Bình Dương",
49,"Tỉnh Quảng Nam",
51,"Tỉnh Quảng Ngãi",
52,"Tỉnh Bình Định",
40,"Tỉnh Nghệ An",
"Không xác định"
)</f>
        <v>Thành phố Hồ Chí Minh</v>
      </c>
      <c r="AD142" t="str">
        <f t="shared" si="16"/>
        <v>64.26%</v>
      </c>
      <c r="AE142" t="s">
        <v>620</v>
      </c>
      <c r="AF142" s="8">
        <f t="shared" si="17"/>
        <v>45860</v>
      </c>
      <c r="AG142" s="8">
        <f>_xlfn.XLOOKUP(AE142, Dev!$A:$A, Dev!$B:$B, "")</f>
        <v>45689</v>
      </c>
      <c r="AH142" s="11">
        <f t="shared" si="18"/>
        <v>171</v>
      </c>
    </row>
    <row r="143" spans="1:34" x14ac:dyDescent="0.3">
      <c r="A143" s="1">
        <v>141</v>
      </c>
      <c r="B143" t="s">
        <v>338</v>
      </c>
      <c r="C143">
        <v>646090</v>
      </c>
      <c r="D143">
        <v>646090</v>
      </c>
      <c r="E143" s="2">
        <v>45851</v>
      </c>
      <c r="F143" s="2">
        <v>45851</v>
      </c>
      <c r="G143" t="s">
        <v>339</v>
      </c>
      <c r="H143" t="s">
        <v>340</v>
      </c>
      <c r="I143" t="s">
        <v>26</v>
      </c>
      <c r="J143" s="3">
        <v>45860.025694444441</v>
      </c>
      <c r="K143">
        <f t="shared" si="14"/>
        <v>7</v>
      </c>
      <c r="L143">
        <v>2025</v>
      </c>
      <c r="M143">
        <v>2025</v>
      </c>
      <c r="N143">
        <v>2025</v>
      </c>
      <c r="O143">
        <v>2025</v>
      </c>
      <c r="P143" t="s">
        <v>27</v>
      </c>
      <c r="Q143" t="s">
        <v>28</v>
      </c>
      <c r="R143" s="2">
        <v>45590</v>
      </c>
      <c r="S143">
        <v>0</v>
      </c>
      <c r="T143" t="s">
        <v>29</v>
      </c>
      <c r="U143" t="s">
        <v>40</v>
      </c>
      <c r="V143" t="s">
        <v>31</v>
      </c>
      <c r="W143" t="s">
        <v>340</v>
      </c>
      <c r="X143" t="s">
        <v>41</v>
      </c>
      <c r="Y143" t="s">
        <v>33</v>
      </c>
      <c r="Z143" t="str">
        <f t="shared" si="15"/>
        <v>0-6</v>
      </c>
      <c r="AA143" t="s">
        <v>586</v>
      </c>
      <c r="AB143">
        <v>1</v>
      </c>
      <c r="AC143" t="str" cm="1">
        <f t="array" ref="AC143">_xlfn.SWITCH(AB143,
79,"Thành phố Hồ Chí Minh",
1,"Thành phố Hà Nội",
35,"Tỉnh Hà Nam",
31,"Thành phố Hải Phòng",
27,"Tỉnh Bắc Ninh",
77,"Tỉnh Bà Rịa - Vũng Tàu",
48,"Thành phố Đà Nẵng",
75,"Tỉnh Đồng Nai",
38,"Tỉnh Thanh Hoá",
82,"Tỉnh Tiền Giang",
74,"Tỉnh Bình Dương",
49,"Tỉnh Quảng Nam",
51,"Tỉnh Quảng Ngãi",
52,"Tỉnh Bình Định",
40,"Tỉnh Nghệ An",
"Không xác định"
)</f>
        <v>Thành phố Hà Nội</v>
      </c>
      <c r="AD143" t="str">
        <f t="shared" si="16"/>
        <v>100%</v>
      </c>
      <c r="AE143" t="s">
        <v>667</v>
      </c>
      <c r="AF143" s="8">
        <f t="shared" si="17"/>
        <v>45860</v>
      </c>
      <c r="AG143" s="8">
        <f>_xlfn.XLOOKUP(AE143, Dev!$A:$A, Dev!$B:$B, "")</f>
        <v>45727.475266203706</v>
      </c>
      <c r="AH143" s="11">
        <f t="shared" si="18"/>
        <v>132.52473379629373</v>
      </c>
    </row>
    <row r="144" spans="1:34" x14ac:dyDescent="0.3">
      <c r="A144" s="1">
        <v>142</v>
      </c>
      <c r="B144" t="s">
        <v>341</v>
      </c>
      <c r="C144">
        <v>1340830</v>
      </c>
      <c r="D144">
        <v>898130</v>
      </c>
      <c r="E144" s="2">
        <v>45840</v>
      </c>
      <c r="F144" s="2">
        <v>45840</v>
      </c>
      <c r="G144" t="s">
        <v>38</v>
      </c>
      <c r="H144" t="s">
        <v>342</v>
      </c>
      <c r="I144" t="s">
        <v>26</v>
      </c>
      <c r="J144" s="3">
        <v>45859.658333333333</v>
      </c>
      <c r="K144">
        <f t="shared" si="14"/>
        <v>7</v>
      </c>
      <c r="L144">
        <v>2025</v>
      </c>
      <c r="M144">
        <v>2025</v>
      </c>
      <c r="N144">
        <v>2025</v>
      </c>
      <c r="O144">
        <v>2025</v>
      </c>
      <c r="P144" t="s">
        <v>27</v>
      </c>
      <c r="Q144" t="s">
        <v>28</v>
      </c>
      <c r="R144" s="2">
        <v>45676</v>
      </c>
      <c r="S144">
        <v>0</v>
      </c>
      <c r="T144" t="s">
        <v>29</v>
      </c>
      <c r="U144" t="s">
        <v>30</v>
      </c>
      <c r="V144" t="s">
        <v>31</v>
      </c>
      <c r="W144" t="s">
        <v>503</v>
      </c>
      <c r="X144" t="s">
        <v>36</v>
      </c>
      <c r="Y144" t="s">
        <v>33</v>
      </c>
      <c r="Z144" t="str">
        <f t="shared" si="15"/>
        <v>0-6</v>
      </c>
      <c r="AA144" t="s">
        <v>567</v>
      </c>
      <c r="AB144">
        <v>1</v>
      </c>
      <c r="AC144" t="str" cm="1">
        <f t="array" ref="AC144">_xlfn.SWITCH(AB144,
79,"Thành phố Hồ Chí Minh",
1,"Thành phố Hà Nội",
35,"Tỉnh Hà Nam",
31,"Thành phố Hải Phòng",
27,"Tỉnh Bắc Ninh",
77,"Tỉnh Bà Rịa - Vũng Tàu",
48,"Thành phố Đà Nẵng",
75,"Tỉnh Đồng Nai",
38,"Tỉnh Thanh Hoá",
82,"Tỉnh Tiền Giang",
74,"Tỉnh Bình Dương",
49,"Tỉnh Quảng Nam",
51,"Tỉnh Quảng Ngãi",
52,"Tỉnh Bình Định",
40,"Tỉnh Nghệ An",
"Không xác định"
)</f>
        <v>Thành phố Hà Nội</v>
      </c>
      <c r="AD144" t="str">
        <f t="shared" si="16"/>
        <v>66.98%</v>
      </c>
      <c r="AE144" t="s">
        <v>648</v>
      </c>
      <c r="AF144" s="8">
        <f t="shared" si="17"/>
        <v>45859</v>
      </c>
      <c r="AG144" s="8">
        <f>_xlfn.XLOOKUP(AE144, Dev!$A:$A, Dev!$B:$B, "")</f>
        <v>45763.86923611111</v>
      </c>
      <c r="AH144" s="11">
        <f t="shared" si="18"/>
        <v>95.130763888890215</v>
      </c>
    </row>
    <row r="145" spans="1:34" x14ac:dyDescent="0.3">
      <c r="A145" s="1">
        <v>143</v>
      </c>
      <c r="B145" t="s">
        <v>343</v>
      </c>
      <c r="C145">
        <v>196000</v>
      </c>
      <c r="D145">
        <v>156800</v>
      </c>
      <c r="E145" s="2">
        <v>45854</v>
      </c>
      <c r="F145" s="2">
        <v>45854</v>
      </c>
      <c r="G145" t="s">
        <v>300</v>
      </c>
      <c r="H145" t="s">
        <v>194</v>
      </c>
      <c r="I145" t="s">
        <v>26</v>
      </c>
      <c r="J145" s="3">
        <v>45859.640277777777</v>
      </c>
      <c r="K145">
        <f t="shared" si="14"/>
        <v>7</v>
      </c>
      <c r="L145">
        <v>2025</v>
      </c>
      <c r="M145">
        <v>2025</v>
      </c>
      <c r="N145">
        <v>2025</v>
      </c>
      <c r="O145">
        <v>2025</v>
      </c>
      <c r="P145" t="s">
        <v>27</v>
      </c>
      <c r="Q145" t="s">
        <v>28</v>
      </c>
      <c r="R145" s="2">
        <v>45090</v>
      </c>
      <c r="S145">
        <v>2</v>
      </c>
      <c r="T145" t="s">
        <v>29</v>
      </c>
      <c r="U145" t="s">
        <v>30</v>
      </c>
      <c r="V145" t="s">
        <v>31</v>
      </c>
      <c r="W145" t="s">
        <v>73</v>
      </c>
      <c r="X145" t="s">
        <v>32</v>
      </c>
      <c r="Y145" t="s">
        <v>33</v>
      </c>
      <c r="Z145" t="str">
        <f t="shared" si="15"/>
        <v>0-6</v>
      </c>
      <c r="AA145" t="s">
        <v>568</v>
      </c>
      <c r="AB145">
        <v>79</v>
      </c>
      <c r="AC145" t="str" cm="1">
        <f t="array" ref="AC145">_xlfn.SWITCH(AB145,
79,"Thành phố Hồ Chí Minh",
1,"Thành phố Hà Nội",
35,"Tỉnh Hà Nam",
31,"Thành phố Hải Phòng",
27,"Tỉnh Bắc Ninh",
77,"Tỉnh Bà Rịa - Vũng Tàu",
48,"Thành phố Đà Nẵng",
75,"Tỉnh Đồng Nai",
38,"Tỉnh Thanh Hoá",
82,"Tỉnh Tiền Giang",
74,"Tỉnh Bình Dương",
49,"Tỉnh Quảng Nam",
51,"Tỉnh Quảng Ngãi",
52,"Tỉnh Bình Định",
40,"Tỉnh Nghệ An",
"Không xác định"
)</f>
        <v>Thành phố Hồ Chí Minh</v>
      </c>
      <c r="AD145" t="str">
        <f t="shared" si="16"/>
        <v>80%</v>
      </c>
      <c r="AE145" t="s">
        <v>649</v>
      </c>
      <c r="AF145" s="8">
        <f t="shared" si="17"/>
        <v>45859</v>
      </c>
      <c r="AG145" s="8">
        <f>_xlfn.XLOOKUP(AE145, Dev!$A:$A, Dev!$B:$B, "")</f>
        <v>45576.580300925925</v>
      </c>
      <c r="AH145" s="11">
        <f t="shared" si="18"/>
        <v>282.41969907407474</v>
      </c>
    </row>
    <row r="146" spans="1:34" x14ac:dyDescent="0.3">
      <c r="A146" s="1">
        <v>144</v>
      </c>
      <c r="B146" t="s">
        <v>344</v>
      </c>
      <c r="C146">
        <v>151000</v>
      </c>
      <c r="D146">
        <v>58400</v>
      </c>
      <c r="E146" s="2">
        <v>45839</v>
      </c>
      <c r="F146" s="2">
        <v>45839</v>
      </c>
      <c r="G146" t="s">
        <v>300</v>
      </c>
      <c r="H146" t="s">
        <v>304</v>
      </c>
      <c r="I146" t="s">
        <v>26</v>
      </c>
      <c r="J146" s="3">
        <v>45859.638194444444</v>
      </c>
      <c r="K146">
        <f t="shared" si="14"/>
        <v>7</v>
      </c>
      <c r="L146">
        <v>2025</v>
      </c>
      <c r="M146">
        <v>2025</v>
      </c>
      <c r="N146">
        <v>2025</v>
      </c>
      <c r="O146">
        <v>2025</v>
      </c>
      <c r="P146" t="s">
        <v>27</v>
      </c>
      <c r="Q146" t="s">
        <v>28</v>
      </c>
      <c r="R146" s="2">
        <v>45090</v>
      </c>
      <c r="S146">
        <v>2</v>
      </c>
      <c r="T146" t="s">
        <v>29</v>
      </c>
      <c r="U146" t="s">
        <v>30</v>
      </c>
      <c r="V146" t="s">
        <v>31</v>
      </c>
      <c r="W146" t="s">
        <v>48</v>
      </c>
      <c r="X146" t="s">
        <v>32</v>
      </c>
      <c r="Y146" t="s">
        <v>33</v>
      </c>
      <c r="Z146" t="str">
        <f t="shared" si="15"/>
        <v>0-6</v>
      </c>
      <c r="AA146" t="s">
        <v>568</v>
      </c>
      <c r="AB146">
        <v>79</v>
      </c>
      <c r="AC146" t="str" cm="1">
        <f t="array" ref="AC146">_xlfn.SWITCH(AB146,
79,"Thành phố Hồ Chí Minh",
1,"Thành phố Hà Nội",
35,"Tỉnh Hà Nam",
31,"Thành phố Hải Phòng",
27,"Tỉnh Bắc Ninh",
77,"Tỉnh Bà Rịa - Vũng Tàu",
48,"Thành phố Đà Nẵng",
75,"Tỉnh Đồng Nai",
38,"Tỉnh Thanh Hoá",
82,"Tỉnh Tiền Giang",
74,"Tỉnh Bình Dương",
49,"Tỉnh Quảng Nam",
51,"Tỉnh Quảng Ngãi",
52,"Tỉnh Bình Định",
40,"Tỉnh Nghệ An",
"Không xác định"
)</f>
        <v>Thành phố Hồ Chí Minh</v>
      </c>
      <c r="AD146" t="str">
        <f t="shared" si="16"/>
        <v>38.68%</v>
      </c>
      <c r="AE146" t="s">
        <v>649</v>
      </c>
      <c r="AF146" s="8">
        <f t="shared" si="17"/>
        <v>45859</v>
      </c>
      <c r="AG146" s="8">
        <f>_xlfn.XLOOKUP(AE146, Dev!$A:$A, Dev!$B:$B, "")</f>
        <v>45576.580300925925</v>
      </c>
      <c r="AH146" s="11">
        <f t="shared" si="18"/>
        <v>282.41969907407474</v>
      </c>
    </row>
    <row r="147" spans="1:34" x14ac:dyDescent="0.3">
      <c r="A147" s="1">
        <v>145</v>
      </c>
      <c r="B147" t="s">
        <v>345</v>
      </c>
      <c r="C147">
        <v>140000</v>
      </c>
      <c r="D147">
        <v>105552</v>
      </c>
      <c r="E147" s="2">
        <v>45838</v>
      </c>
      <c r="F147" s="2">
        <v>45838</v>
      </c>
      <c r="G147" t="s">
        <v>300</v>
      </c>
      <c r="H147" t="s">
        <v>346</v>
      </c>
      <c r="I147" t="s">
        <v>26</v>
      </c>
      <c r="J147" s="3">
        <v>45859.636111111111</v>
      </c>
      <c r="K147">
        <f t="shared" si="14"/>
        <v>7</v>
      </c>
      <c r="L147">
        <v>2025</v>
      </c>
      <c r="M147">
        <v>2025</v>
      </c>
      <c r="N147">
        <v>2025</v>
      </c>
      <c r="O147">
        <v>2025</v>
      </c>
      <c r="P147" t="s">
        <v>27</v>
      </c>
      <c r="Q147" t="s">
        <v>28</v>
      </c>
      <c r="R147" s="2">
        <v>45090</v>
      </c>
      <c r="S147">
        <v>2</v>
      </c>
      <c r="T147" t="s">
        <v>29</v>
      </c>
      <c r="U147" t="s">
        <v>30</v>
      </c>
      <c r="V147" t="s">
        <v>31</v>
      </c>
      <c r="W147" t="s">
        <v>504</v>
      </c>
      <c r="X147" t="s">
        <v>32</v>
      </c>
      <c r="Y147" t="s">
        <v>33</v>
      </c>
      <c r="Z147" t="str">
        <f t="shared" si="15"/>
        <v>0-6</v>
      </c>
      <c r="AA147" t="s">
        <v>568</v>
      </c>
      <c r="AB147">
        <v>79</v>
      </c>
      <c r="AC147" t="str" cm="1">
        <f t="array" ref="AC147">_xlfn.SWITCH(AB147,
79,"Thành phố Hồ Chí Minh",
1,"Thành phố Hà Nội",
35,"Tỉnh Hà Nam",
31,"Thành phố Hải Phòng",
27,"Tỉnh Bắc Ninh",
77,"Tỉnh Bà Rịa - Vũng Tàu",
48,"Thành phố Đà Nẵng",
75,"Tỉnh Đồng Nai",
38,"Tỉnh Thanh Hoá",
82,"Tỉnh Tiền Giang",
74,"Tỉnh Bình Dương",
49,"Tỉnh Quảng Nam",
51,"Tỉnh Quảng Ngãi",
52,"Tỉnh Bình Định",
40,"Tỉnh Nghệ An",
"Không xác định"
)</f>
        <v>Thành phố Hồ Chí Minh</v>
      </c>
      <c r="AD147" t="str">
        <f t="shared" si="16"/>
        <v>75.39%</v>
      </c>
      <c r="AE147" t="s">
        <v>649</v>
      </c>
      <c r="AF147" s="8">
        <f t="shared" si="17"/>
        <v>45859</v>
      </c>
      <c r="AG147" s="8">
        <f>_xlfn.XLOOKUP(AE147, Dev!$A:$A, Dev!$B:$B, "")</f>
        <v>45576.580300925925</v>
      </c>
      <c r="AH147" s="11">
        <f t="shared" si="18"/>
        <v>282.41969907407474</v>
      </c>
    </row>
    <row r="148" spans="1:34" x14ac:dyDescent="0.3">
      <c r="A148" s="1">
        <v>146</v>
      </c>
      <c r="B148" t="s">
        <v>347</v>
      </c>
      <c r="C148">
        <v>1531000</v>
      </c>
      <c r="D148">
        <v>960000</v>
      </c>
      <c r="E148" s="2">
        <v>45859</v>
      </c>
      <c r="G148" t="s">
        <v>348</v>
      </c>
      <c r="H148" t="s">
        <v>349</v>
      </c>
      <c r="I148" t="s">
        <v>26</v>
      </c>
      <c r="J148" s="3">
        <v>45859.458333333336</v>
      </c>
      <c r="K148">
        <f t="shared" si="14"/>
        <v>7</v>
      </c>
      <c r="L148">
        <v>2025</v>
      </c>
      <c r="M148">
        <v>2025</v>
      </c>
      <c r="N148">
        <v>2025</v>
      </c>
      <c r="O148">
        <v>2025</v>
      </c>
      <c r="P148" t="s">
        <v>27</v>
      </c>
      <c r="Q148" t="s">
        <v>28</v>
      </c>
      <c r="R148" s="2">
        <v>45394</v>
      </c>
      <c r="S148">
        <v>1</v>
      </c>
      <c r="T148" t="s">
        <v>29</v>
      </c>
      <c r="U148" t="s">
        <v>40</v>
      </c>
      <c r="V148" t="s">
        <v>31</v>
      </c>
      <c r="W148" t="s">
        <v>349</v>
      </c>
      <c r="X148" t="s">
        <v>41</v>
      </c>
      <c r="Y148" t="s">
        <v>33</v>
      </c>
      <c r="Z148" t="str">
        <f t="shared" si="15"/>
        <v>0-6</v>
      </c>
      <c r="AA148" t="s">
        <v>585</v>
      </c>
      <c r="AB148">
        <v>1</v>
      </c>
      <c r="AC148" t="str" cm="1">
        <f t="array" ref="AC148">_xlfn.SWITCH(AB148,
79,"Thành phố Hồ Chí Minh",
1,"Thành phố Hà Nội",
35,"Tỉnh Hà Nam",
31,"Thành phố Hải Phòng",
27,"Tỉnh Bắc Ninh",
77,"Tỉnh Bà Rịa - Vũng Tàu",
48,"Thành phố Đà Nẵng",
75,"Tỉnh Đồng Nai",
38,"Tỉnh Thanh Hoá",
82,"Tỉnh Tiền Giang",
74,"Tỉnh Bình Dương",
49,"Tỉnh Quảng Nam",
51,"Tỉnh Quảng Ngãi",
52,"Tỉnh Bình Định",
40,"Tỉnh Nghệ An",
"Không xác định"
)</f>
        <v>Thành phố Hà Nội</v>
      </c>
      <c r="AD148" t="str">
        <f t="shared" si="16"/>
        <v>62.7%</v>
      </c>
      <c r="AE148" t="s">
        <v>666</v>
      </c>
      <c r="AF148" s="8">
        <f t="shared" si="17"/>
        <v>45859</v>
      </c>
      <c r="AG148" s="8">
        <f>_xlfn.XLOOKUP(AE148, Dev!$A:$A, Dev!$B:$B, "")</f>
        <v>45762.554652777777</v>
      </c>
      <c r="AH148" s="11">
        <f t="shared" si="18"/>
        <v>96.445347222223063</v>
      </c>
    </row>
    <row r="149" spans="1:34" x14ac:dyDescent="0.3">
      <c r="A149" s="1">
        <v>147</v>
      </c>
      <c r="B149" t="s">
        <v>350</v>
      </c>
      <c r="C149">
        <v>600000</v>
      </c>
      <c r="D149">
        <v>480000</v>
      </c>
      <c r="E149" s="2">
        <v>45854</v>
      </c>
      <c r="F149" s="2">
        <v>45854</v>
      </c>
      <c r="G149" t="s">
        <v>351</v>
      </c>
      <c r="H149" t="s">
        <v>352</v>
      </c>
      <c r="I149" t="s">
        <v>26</v>
      </c>
      <c r="J149" s="3">
        <v>45859.455555555556</v>
      </c>
      <c r="K149">
        <f t="shared" si="14"/>
        <v>7</v>
      </c>
      <c r="L149">
        <v>2025</v>
      </c>
      <c r="M149">
        <v>2025</v>
      </c>
      <c r="N149">
        <v>2025</v>
      </c>
      <c r="O149">
        <v>2025</v>
      </c>
      <c r="P149" t="s">
        <v>27</v>
      </c>
      <c r="Q149" t="s">
        <v>28</v>
      </c>
      <c r="R149" s="2">
        <v>45201</v>
      </c>
      <c r="S149">
        <v>2</v>
      </c>
      <c r="T149" t="s">
        <v>29</v>
      </c>
      <c r="U149" t="s">
        <v>30</v>
      </c>
      <c r="V149" t="s">
        <v>31</v>
      </c>
      <c r="W149" t="s">
        <v>505</v>
      </c>
      <c r="X149" t="s">
        <v>41</v>
      </c>
      <c r="Y149" t="s">
        <v>33</v>
      </c>
      <c r="Z149" t="str">
        <f t="shared" si="15"/>
        <v>0-6</v>
      </c>
      <c r="AA149" t="s">
        <v>600</v>
      </c>
      <c r="AB149">
        <v>1</v>
      </c>
      <c r="AC149" t="str" cm="1">
        <f t="array" ref="AC149">_xlfn.SWITCH(AB149,
79,"Thành phố Hồ Chí Minh",
1,"Thành phố Hà Nội",
35,"Tỉnh Hà Nam",
31,"Thành phố Hải Phòng",
27,"Tỉnh Bắc Ninh",
77,"Tỉnh Bà Rịa - Vũng Tàu",
48,"Thành phố Đà Nẵng",
75,"Tỉnh Đồng Nai",
38,"Tỉnh Thanh Hoá",
82,"Tỉnh Tiền Giang",
74,"Tỉnh Bình Dương",
49,"Tỉnh Quảng Nam",
51,"Tỉnh Quảng Ngãi",
52,"Tỉnh Bình Định",
40,"Tỉnh Nghệ An",
"Không xác định"
)</f>
        <v>Thành phố Hà Nội</v>
      </c>
      <c r="AD149" t="str">
        <f t="shared" si="16"/>
        <v>80%</v>
      </c>
      <c r="AE149" t="s">
        <v>681</v>
      </c>
      <c r="AF149" s="8">
        <f t="shared" si="17"/>
        <v>45859</v>
      </c>
      <c r="AG149" s="8">
        <f>_xlfn.XLOOKUP(AE149, Dev!$A:$A, Dev!$B:$B, "")</f>
        <v>45822.591377314813</v>
      </c>
      <c r="AH149" s="11">
        <f t="shared" si="18"/>
        <v>36.408622685186856</v>
      </c>
    </row>
    <row r="150" spans="1:34" x14ac:dyDescent="0.3">
      <c r="A150" s="1">
        <v>148</v>
      </c>
      <c r="B150" t="s">
        <v>353</v>
      </c>
      <c r="C150">
        <v>791000</v>
      </c>
      <c r="D150">
        <v>280000</v>
      </c>
      <c r="E150" s="2">
        <v>45856</v>
      </c>
      <c r="G150" t="s">
        <v>313</v>
      </c>
      <c r="H150" t="s">
        <v>354</v>
      </c>
      <c r="I150" t="s">
        <v>26</v>
      </c>
      <c r="J150" s="3">
        <v>45859.395833333336</v>
      </c>
      <c r="K150">
        <f t="shared" si="14"/>
        <v>7</v>
      </c>
      <c r="L150">
        <v>2025</v>
      </c>
      <c r="M150">
        <v>2025</v>
      </c>
      <c r="N150">
        <v>2025</v>
      </c>
      <c r="O150">
        <v>2025</v>
      </c>
      <c r="P150" t="s">
        <v>27</v>
      </c>
      <c r="Q150" t="s">
        <v>28</v>
      </c>
      <c r="R150" s="2">
        <v>45764</v>
      </c>
      <c r="S150">
        <v>0</v>
      </c>
      <c r="T150" t="s">
        <v>29</v>
      </c>
      <c r="U150" t="s">
        <v>30</v>
      </c>
      <c r="V150" t="s">
        <v>31</v>
      </c>
      <c r="W150" t="s">
        <v>506</v>
      </c>
      <c r="X150" t="s">
        <v>41</v>
      </c>
      <c r="Y150" t="s">
        <v>33</v>
      </c>
      <c r="Z150" t="str">
        <f t="shared" si="15"/>
        <v>0-6</v>
      </c>
      <c r="AA150" t="s">
        <v>601</v>
      </c>
      <c r="AB150">
        <v>1</v>
      </c>
      <c r="AC150" t="str" cm="1">
        <f t="array" ref="AC150">_xlfn.SWITCH(AB150,
79,"Thành phố Hồ Chí Minh",
1,"Thành phố Hà Nội",
35,"Tỉnh Hà Nam",
31,"Thành phố Hải Phòng",
27,"Tỉnh Bắc Ninh",
77,"Tỉnh Bà Rịa - Vũng Tàu",
48,"Thành phố Đà Nẵng",
75,"Tỉnh Đồng Nai",
38,"Tỉnh Thanh Hoá",
82,"Tỉnh Tiền Giang",
74,"Tỉnh Bình Dương",
49,"Tỉnh Quảng Nam",
51,"Tỉnh Quảng Ngãi",
52,"Tỉnh Bình Định",
40,"Tỉnh Nghệ An",
"Không xác định"
)</f>
        <v>Thành phố Hà Nội</v>
      </c>
      <c r="AD150" t="str">
        <f t="shared" si="16"/>
        <v>35.4%</v>
      </c>
      <c r="AE150" t="s">
        <v>682</v>
      </c>
      <c r="AF150" s="8">
        <f t="shared" si="17"/>
        <v>45859</v>
      </c>
      <c r="AG150" s="8">
        <f>_xlfn.XLOOKUP(AE150, Dev!$A:$A, Dev!$B:$B, "")</f>
        <v>45823.580069444448</v>
      </c>
      <c r="AH150" s="11">
        <f t="shared" si="18"/>
        <v>35.419930555552128</v>
      </c>
    </row>
    <row r="151" spans="1:34" x14ac:dyDescent="0.3">
      <c r="A151" s="1">
        <v>149</v>
      </c>
      <c r="B151" t="s">
        <v>355</v>
      </c>
      <c r="C151">
        <v>5359970</v>
      </c>
      <c r="D151">
        <v>2984475</v>
      </c>
      <c r="E151" s="2">
        <v>45857</v>
      </c>
      <c r="G151" t="s">
        <v>356</v>
      </c>
      <c r="H151" t="s">
        <v>357</v>
      </c>
      <c r="I151" t="s">
        <v>26</v>
      </c>
      <c r="J151" s="3">
        <v>45857.757638888892</v>
      </c>
      <c r="K151">
        <f t="shared" si="14"/>
        <v>7</v>
      </c>
      <c r="L151">
        <v>2025</v>
      </c>
      <c r="M151">
        <v>2025</v>
      </c>
      <c r="N151">
        <v>2025</v>
      </c>
      <c r="O151">
        <v>2025</v>
      </c>
      <c r="P151" t="s">
        <v>27</v>
      </c>
      <c r="Q151" t="s">
        <v>28</v>
      </c>
      <c r="R151" s="2">
        <v>45086</v>
      </c>
      <c r="S151">
        <v>2</v>
      </c>
      <c r="T151" t="s">
        <v>29</v>
      </c>
      <c r="U151" t="s">
        <v>30</v>
      </c>
      <c r="V151" t="s">
        <v>70</v>
      </c>
      <c r="W151" t="s">
        <v>507</v>
      </c>
      <c r="X151" t="s">
        <v>36</v>
      </c>
      <c r="Y151" t="s">
        <v>33</v>
      </c>
      <c r="Z151" t="str">
        <f t="shared" si="15"/>
        <v>0-6</v>
      </c>
      <c r="AA151" t="s">
        <v>602</v>
      </c>
      <c r="AB151">
        <v>49</v>
      </c>
      <c r="AC151" t="str" cm="1">
        <f t="array" ref="AC151">_xlfn.SWITCH(AB151,
79,"Thành phố Hồ Chí Minh",
1,"Thành phố Hà Nội",
35,"Tỉnh Hà Nam",
31,"Thành phố Hải Phòng",
27,"Tỉnh Bắc Ninh",
77,"Tỉnh Bà Rịa - Vũng Tàu",
48,"Thành phố Đà Nẵng",
75,"Tỉnh Đồng Nai",
38,"Tỉnh Thanh Hoá",
82,"Tỉnh Tiền Giang",
74,"Tỉnh Bình Dương",
49,"Tỉnh Quảng Nam",
51,"Tỉnh Quảng Ngãi",
52,"Tỉnh Bình Định",
40,"Tỉnh Nghệ An",
"Không xác định"
)</f>
        <v>Tỉnh Quảng Nam</v>
      </c>
      <c r="AD151" t="str">
        <f t="shared" si="16"/>
        <v>55.68%</v>
      </c>
      <c r="AE151" t="s">
        <v>683</v>
      </c>
      <c r="AF151" s="8">
        <f t="shared" si="17"/>
        <v>45857</v>
      </c>
      <c r="AG151" s="8">
        <f>_xlfn.XLOOKUP(AE151, Dev!$A:$A, Dev!$B:$B, "")</f>
        <v>45589.49491898148</v>
      </c>
      <c r="AH151" s="11">
        <f t="shared" si="18"/>
        <v>267.50508101852029</v>
      </c>
    </row>
    <row r="152" spans="1:34" x14ac:dyDescent="0.3">
      <c r="A152" s="1">
        <v>150</v>
      </c>
      <c r="B152" t="s">
        <v>358</v>
      </c>
      <c r="C152">
        <v>1924255</v>
      </c>
      <c r="D152">
        <v>763173</v>
      </c>
      <c r="E152" s="2">
        <v>45853</v>
      </c>
      <c r="F152" s="2">
        <v>45855</v>
      </c>
      <c r="G152" t="s">
        <v>313</v>
      </c>
      <c r="H152" t="s">
        <v>359</v>
      </c>
      <c r="I152" t="s">
        <v>26</v>
      </c>
      <c r="J152" s="3">
        <v>45856.296527777777</v>
      </c>
      <c r="K152">
        <f t="shared" si="14"/>
        <v>7</v>
      </c>
      <c r="L152">
        <v>2025</v>
      </c>
      <c r="M152">
        <v>2025</v>
      </c>
      <c r="N152">
        <v>2025</v>
      </c>
      <c r="O152">
        <v>2025</v>
      </c>
      <c r="P152" t="s">
        <v>27</v>
      </c>
      <c r="Q152" t="s">
        <v>28</v>
      </c>
      <c r="R152" s="2">
        <v>45569</v>
      </c>
      <c r="S152">
        <v>1</v>
      </c>
      <c r="T152" t="s">
        <v>29</v>
      </c>
      <c r="U152" t="s">
        <v>40</v>
      </c>
      <c r="V152" t="s">
        <v>70</v>
      </c>
      <c r="W152" t="s">
        <v>508</v>
      </c>
      <c r="X152" t="s">
        <v>32</v>
      </c>
      <c r="Y152" t="s">
        <v>33</v>
      </c>
      <c r="Z152" t="str">
        <f t="shared" si="15"/>
        <v>0-6</v>
      </c>
      <c r="AA152" t="s">
        <v>594</v>
      </c>
      <c r="AB152">
        <v>1</v>
      </c>
      <c r="AC152" t="str" cm="1">
        <f t="array" ref="AC152">_xlfn.SWITCH(AB152,
79,"Thành phố Hồ Chí Minh",
1,"Thành phố Hà Nội",
35,"Tỉnh Hà Nam",
31,"Thành phố Hải Phòng",
27,"Tỉnh Bắc Ninh",
77,"Tỉnh Bà Rịa - Vũng Tàu",
48,"Thành phố Đà Nẵng",
75,"Tỉnh Đồng Nai",
38,"Tỉnh Thanh Hoá",
82,"Tỉnh Tiền Giang",
74,"Tỉnh Bình Dương",
49,"Tỉnh Quảng Nam",
51,"Tỉnh Quảng Ngãi",
52,"Tỉnh Bình Định",
40,"Tỉnh Nghệ An",
"Không xác định"
)</f>
        <v>Thành phố Hà Nội</v>
      </c>
      <c r="AD152" t="str">
        <f t="shared" si="16"/>
        <v>39.66%</v>
      </c>
      <c r="AE152" t="s">
        <v>675</v>
      </c>
      <c r="AF152" s="8">
        <f t="shared" si="17"/>
        <v>45856</v>
      </c>
      <c r="AG152" s="8">
        <f>_xlfn.XLOOKUP(AE152, Dev!$A:$A, Dev!$B:$B, "")</f>
        <v>45657.587905092594</v>
      </c>
      <c r="AH152" s="11">
        <f t="shared" si="18"/>
        <v>198.41209490740584</v>
      </c>
    </row>
    <row r="153" spans="1:34" x14ac:dyDescent="0.3">
      <c r="A153" s="1">
        <v>151</v>
      </c>
      <c r="B153" t="s">
        <v>360</v>
      </c>
      <c r="C153">
        <v>356869</v>
      </c>
      <c r="D153">
        <v>109736</v>
      </c>
      <c r="E153" s="2">
        <v>45847</v>
      </c>
      <c r="F153" s="2">
        <v>45847</v>
      </c>
      <c r="G153" t="s">
        <v>41</v>
      </c>
      <c r="H153" t="s">
        <v>361</v>
      </c>
      <c r="I153" t="s">
        <v>26</v>
      </c>
      <c r="J153" s="3">
        <v>45855.576388888891</v>
      </c>
      <c r="K153">
        <f t="shared" si="14"/>
        <v>7</v>
      </c>
      <c r="L153">
        <v>2025</v>
      </c>
      <c r="M153">
        <v>2025</v>
      </c>
      <c r="N153">
        <v>2025</v>
      </c>
      <c r="O153">
        <v>2025</v>
      </c>
      <c r="P153" t="s">
        <v>27</v>
      </c>
      <c r="Q153" t="s">
        <v>28</v>
      </c>
      <c r="R153" s="2">
        <v>45430</v>
      </c>
      <c r="S153">
        <v>1</v>
      </c>
      <c r="T153" t="s">
        <v>29</v>
      </c>
      <c r="U153" t="s">
        <v>40</v>
      </c>
      <c r="V153" t="s">
        <v>31</v>
      </c>
      <c r="W153" t="s">
        <v>509</v>
      </c>
      <c r="X153" t="s">
        <v>32</v>
      </c>
      <c r="Y153" t="s">
        <v>33</v>
      </c>
      <c r="Z153" t="str">
        <f t="shared" si="15"/>
        <v>0-6</v>
      </c>
      <c r="AA153" t="s">
        <v>603</v>
      </c>
      <c r="AB153">
        <v>79</v>
      </c>
      <c r="AC153" t="str" cm="1">
        <f t="array" ref="AC153">_xlfn.SWITCH(AB153,
79,"Thành phố Hồ Chí Minh",
1,"Thành phố Hà Nội",
35,"Tỉnh Hà Nam",
31,"Thành phố Hải Phòng",
27,"Tỉnh Bắc Ninh",
77,"Tỉnh Bà Rịa - Vũng Tàu",
48,"Thành phố Đà Nẵng",
75,"Tỉnh Đồng Nai",
38,"Tỉnh Thanh Hoá",
82,"Tỉnh Tiền Giang",
74,"Tỉnh Bình Dương",
49,"Tỉnh Quảng Nam",
51,"Tỉnh Quảng Ngãi",
52,"Tỉnh Bình Định",
40,"Tỉnh Nghệ An",
"Không xác định"
)</f>
        <v>Thành phố Hồ Chí Minh</v>
      </c>
      <c r="AD153" t="str">
        <f t="shared" si="16"/>
        <v>30.75%</v>
      </c>
      <c r="AE153" t="s">
        <v>684</v>
      </c>
      <c r="AF153" s="8">
        <f t="shared" si="17"/>
        <v>45855</v>
      </c>
      <c r="AG153" s="8">
        <f>_xlfn.XLOOKUP(AE153, Dev!$A:$A, Dev!$B:$B, "")</f>
        <v>45505.385671296295</v>
      </c>
      <c r="AH153" s="11">
        <f t="shared" si="18"/>
        <v>349.61432870370481</v>
      </c>
    </row>
    <row r="154" spans="1:34" x14ac:dyDescent="0.3">
      <c r="A154" s="1">
        <v>152</v>
      </c>
      <c r="B154" t="s">
        <v>362</v>
      </c>
      <c r="C154">
        <v>455000</v>
      </c>
      <c r="D154">
        <v>125000</v>
      </c>
      <c r="E154" s="2">
        <v>45833</v>
      </c>
      <c r="F154" s="2">
        <v>45833</v>
      </c>
      <c r="G154" t="s">
        <v>363</v>
      </c>
      <c r="H154" t="s">
        <v>364</v>
      </c>
      <c r="I154" t="s">
        <v>26</v>
      </c>
      <c r="J154" s="3">
        <v>45855.003472222219</v>
      </c>
      <c r="K154">
        <f t="shared" si="14"/>
        <v>7</v>
      </c>
      <c r="L154">
        <v>2025</v>
      </c>
      <c r="M154">
        <v>2025</v>
      </c>
      <c r="N154">
        <v>2025</v>
      </c>
      <c r="O154">
        <v>2025</v>
      </c>
      <c r="P154" t="s">
        <v>27</v>
      </c>
      <c r="Q154" t="s">
        <v>28</v>
      </c>
      <c r="R154" s="2">
        <v>32454</v>
      </c>
      <c r="S154">
        <v>36</v>
      </c>
      <c r="T154" t="s">
        <v>147</v>
      </c>
      <c r="U154" t="s">
        <v>30</v>
      </c>
      <c r="V154" t="s">
        <v>31</v>
      </c>
      <c r="W154" t="s">
        <v>365</v>
      </c>
      <c r="X154" t="s">
        <v>366</v>
      </c>
      <c r="Y154" t="s">
        <v>367</v>
      </c>
      <c r="Z154" t="str">
        <f t="shared" si="15"/>
        <v>36-55</v>
      </c>
      <c r="AA154" t="s">
        <v>604</v>
      </c>
      <c r="AB154">
        <v>79</v>
      </c>
      <c r="AC154" t="str" cm="1">
        <f t="array" ref="AC154">_xlfn.SWITCH(AB154,
79,"Thành phố Hồ Chí Minh",
1,"Thành phố Hà Nội",
35,"Tỉnh Hà Nam",
31,"Thành phố Hải Phòng",
27,"Tỉnh Bắc Ninh",
77,"Tỉnh Bà Rịa - Vũng Tàu",
48,"Thành phố Đà Nẵng",
75,"Tỉnh Đồng Nai",
38,"Tỉnh Thanh Hoá",
82,"Tỉnh Tiền Giang",
74,"Tỉnh Bình Dương",
49,"Tỉnh Quảng Nam",
51,"Tỉnh Quảng Ngãi",
52,"Tỉnh Bình Định",
40,"Tỉnh Nghệ An",
"Không xác định"
)</f>
        <v>Thành phố Hồ Chí Minh</v>
      </c>
      <c r="AD154" t="str">
        <f t="shared" si="16"/>
        <v>27.47%</v>
      </c>
      <c r="AE154" t="s">
        <v>685</v>
      </c>
      <c r="AF154" s="8">
        <f t="shared" si="17"/>
        <v>45855</v>
      </c>
      <c r="AG154" s="8">
        <f>_xlfn.XLOOKUP(AE154, Dev!$A:$A, Dev!$B:$B, "")</f>
        <v>45492</v>
      </c>
      <c r="AH154" s="11">
        <f t="shared" si="18"/>
        <v>363</v>
      </c>
    </row>
    <row r="155" spans="1:34" x14ac:dyDescent="0.3">
      <c r="A155" s="1">
        <v>153</v>
      </c>
      <c r="B155" t="s">
        <v>368</v>
      </c>
      <c r="C155">
        <v>140000</v>
      </c>
      <c r="D155">
        <v>140000</v>
      </c>
      <c r="E155" s="2">
        <v>45828</v>
      </c>
      <c r="F155" s="2">
        <v>45828</v>
      </c>
      <c r="G155" t="s">
        <v>363</v>
      </c>
      <c r="H155" t="s">
        <v>369</v>
      </c>
      <c r="I155" t="s">
        <v>26</v>
      </c>
      <c r="J155" s="3">
        <v>45854.979166666664</v>
      </c>
      <c r="K155">
        <f t="shared" si="14"/>
        <v>7</v>
      </c>
      <c r="L155">
        <v>2025</v>
      </c>
      <c r="M155">
        <v>2025</v>
      </c>
      <c r="N155">
        <v>2025</v>
      </c>
      <c r="O155">
        <v>2025</v>
      </c>
      <c r="P155" t="s">
        <v>27</v>
      </c>
      <c r="Q155" t="s">
        <v>28</v>
      </c>
      <c r="R155" s="2">
        <v>32454</v>
      </c>
      <c r="S155">
        <v>36</v>
      </c>
      <c r="T155" t="s">
        <v>147</v>
      </c>
      <c r="U155" t="s">
        <v>30</v>
      </c>
      <c r="V155" t="s">
        <v>70</v>
      </c>
      <c r="W155" t="s">
        <v>370</v>
      </c>
      <c r="X155" t="s">
        <v>77</v>
      </c>
      <c r="Y155" t="s">
        <v>367</v>
      </c>
      <c r="Z155" t="str">
        <f t="shared" si="15"/>
        <v>36-55</v>
      </c>
      <c r="AA155" t="s">
        <v>604</v>
      </c>
      <c r="AB155">
        <v>79</v>
      </c>
      <c r="AC155" t="str" cm="1">
        <f t="array" ref="AC155">_xlfn.SWITCH(AB155,
79,"Thành phố Hồ Chí Minh",
1,"Thành phố Hà Nội",
35,"Tỉnh Hà Nam",
31,"Thành phố Hải Phòng",
27,"Tỉnh Bắc Ninh",
77,"Tỉnh Bà Rịa - Vũng Tàu",
48,"Thành phố Đà Nẵng",
75,"Tỉnh Đồng Nai",
38,"Tỉnh Thanh Hoá",
82,"Tỉnh Tiền Giang",
74,"Tỉnh Bình Dương",
49,"Tỉnh Quảng Nam",
51,"Tỉnh Quảng Ngãi",
52,"Tỉnh Bình Định",
40,"Tỉnh Nghệ An",
"Không xác định"
)</f>
        <v>Thành phố Hồ Chí Minh</v>
      </c>
      <c r="AD155" t="str">
        <f t="shared" si="16"/>
        <v>100%</v>
      </c>
      <c r="AE155" t="s">
        <v>685</v>
      </c>
      <c r="AF155" s="8">
        <f t="shared" si="17"/>
        <v>45854</v>
      </c>
      <c r="AG155" s="8">
        <f>_xlfn.XLOOKUP(AE155, Dev!$A:$A, Dev!$B:$B, "")</f>
        <v>45492</v>
      </c>
      <c r="AH155" s="11">
        <f t="shared" si="18"/>
        <v>362</v>
      </c>
    </row>
    <row r="156" spans="1:34" x14ac:dyDescent="0.3">
      <c r="A156" s="1">
        <v>154</v>
      </c>
      <c r="B156" t="s">
        <v>371</v>
      </c>
      <c r="C156">
        <v>368000</v>
      </c>
      <c r="D156">
        <v>244000</v>
      </c>
      <c r="E156" s="2">
        <v>45836</v>
      </c>
      <c r="F156" s="2">
        <v>45836</v>
      </c>
      <c r="G156" t="s">
        <v>363</v>
      </c>
      <c r="H156" t="s">
        <v>372</v>
      </c>
      <c r="I156" t="s">
        <v>26</v>
      </c>
      <c r="J156" s="3">
        <v>45854.97152777778</v>
      </c>
      <c r="K156">
        <f t="shared" si="14"/>
        <v>7</v>
      </c>
      <c r="L156">
        <v>2025</v>
      </c>
      <c r="M156">
        <v>2025</v>
      </c>
      <c r="N156">
        <v>2025</v>
      </c>
      <c r="O156">
        <v>2025</v>
      </c>
      <c r="P156" t="s">
        <v>27</v>
      </c>
      <c r="Q156" t="s">
        <v>28</v>
      </c>
      <c r="R156" s="2">
        <v>32454</v>
      </c>
      <c r="S156">
        <v>36</v>
      </c>
      <c r="T156" t="s">
        <v>147</v>
      </c>
      <c r="U156" t="s">
        <v>30</v>
      </c>
      <c r="V156" t="s">
        <v>31</v>
      </c>
      <c r="W156" t="s">
        <v>373</v>
      </c>
      <c r="X156" t="s">
        <v>374</v>
      </c>
      <c r="Y156" t="s">
        <v>367</v>
      </c>
      <c r="Z156" t="str">
        <f t="shared" si="15"/>
        <v>36-55</v>
      </c>
      <c r="AA156" t="s">
        <v>604</v>
      </c>
      <c r="AB156">
        <v>79</v>
      </c>
      <c r="AC156" t="str" cm="1">
        <f t="array" ref="AC156">_xlfn.SWITCH(AB156,
79,"Thành phố Hồ Chí Minh",
1,"Thành phố Hà Nội",
35,"Tỉnh Hà Nam",
31,"Thành phố Hải Phòng",
27,"Tỉnh Bắc Ninh",
77,"Tỉnh Bà Rịa - Vũng Tàu",
48,"Thành phố Đà Nẵng",
75,"Tỉnh Đồng Nai",
38,"Tỉnh Thanh Hoá",
82,"Tỉnh Tiền Giang",
74,"Tỉnh Bình Dương",
49,"Tỉnh Quảng Nam",
51,"Tỉnh Quảng Ngãi",
52,"Tỉnh Bình Định",
40,"Tỉnh Nghệ An",
"Không xác định"
)</f>
        <v>Thành phố Hồ Chí Minh</v>
      </c>
      <c r="AD156" t="str">
        <f t="shared" si="16"/>
        <v>66.3%</v>
      </c>
      <c r="AE156" t="s">
        <v>685</v>
      </c>
      <c r="AF156" s="8">
        <f t="shared" si="17"/>
        <v>45854</v>
      </c>
      <c r="AG156" s="8">
        <f>_xlfn.XLOOKUP(AE156, Dev!$A:$A, Dev!$B:$B, "")</f>
        <v>45492</v>
      </c>
      <c r="AH156" s="11">
        <f t="shared" si="18"/>
        <v>362</v>
      </c>
    </row>
    <row r="157" spans="1:34" x14ac:dyDescent="0.3">
      <c r="A157" s="1">
        <v>155</v>
      </c>
      <c r="B157" t="s">
        <v>375</v>
      </c>
      <c r="C157">
        <v>128400</v>
      </c>
      <c r="D157">
        <v>128400</v>
      </c>
      <c r="E157" s="2">
        <v>45849</v>
      </c>
      <c r="F157" s="2">
        <v>45849</v>
      </c>
      <c r="G157" t="s">
        <v>363</v>
      </c>
      <c r="H157" t="s">
        <v>376</v>
      </c>
      <c r="I157" t="s">
        <v>26</v>
      </c>
      <c r="J157" s="3">
        <v>45854.964583333334</v>
      </c>
      <c r="K157">
        <f t="shared" si="14"/>
        <v>7</v>
      </c>
      <c r="L157">
        <v>2025</v>
      </c>
      <c r="M157">
        <v>2025</v>
      </c>
      <c r="N157">
        <v>2025</v>
      </c>
      <c r="O157">
        <v>2025</v>
      </c>
      <c r="P157" t="s">
        <v>27</v>
      </c>
      <c r="Q157" t="s">
        <v>28</v>
      </c>
      <c r="R157" s="2">
        <v>32454</v>
      </c>
      <c r="S157">
        <v>36</v>
      </c>
      <c r="T157" t="s">
        <v>147</v>
      </c>
      <c r="U157" t="s">
        <v>30</v>
      </c>
      <c r="V157" t="s">
        <v>31</v>
      </c>
      <c r="W157" t="s">
        <v>377</v>
      </c>
      <c r="X157" t="s">
        <v>41</v>
      </c>
      <c r="Y157" t="s">
        <v>367</v>
      </c>
      <c r="Z157" t="str">
        <f t="shared" si="15"/>
        <v>36-55</v>
      </c>
      <c r="AA157" t="s">
        <v>604</v>
      </c>
      <c r="AB157">
        <v>79</v>
      </c>
      <c r="AC157" t="str" cm="1">
        <f t="array" ref="AC157">_xlfn.SWITCH(AB157,
79,"Thành phố Hồ Chí Minh",
1,"Thành phố Hà Nội",
35,"Tỉnh Hà Nam",
31,"Thành phố Hải Phòng",
27,"Tỉnh Bắc Ninh",
77,"Tỉnh Bà Rịa - Vũng Tàu",
48,"Thành phố Đà Nẵng",
75,"Tỉnh Đồng Nai",
38,"Tỉnh Thanh Hoá",
82,"Tỉnh Tiền Giang",
74,"Tỉnh Bình Dương",
49,"Tỉnh Quảng Nam",
51,"Tỉnh Quảng Ngãi",
52,"Tỉnh Bình Định",
40,"Tỉnh Nghệ An",
"Không xác định"
)</f>
        <v>Thành phố Hồ Chí Minh</v>
      </c>
      <c r="AD157" t="str">
        <f t="shared" si="16"/>
        <v>100%</v>
      </c>
      <c r="AE157" t="s">
        <v>685</v>
      </c>
      <c r="AF157" s="8">
        <f t="shared" si="17"/>
        <v>45854</v>
      </c>
      <c r="AG157" s="8">
        <f>_xlfn.XLOOKUP(AE157, Dev!$A:$A, Dev!$B:$B, "")</f>
        <v>45492</v>
      </c>
      <c r="AH157" s="11">
        <f t="shared" si="18"/>
        <v>362</v>
      </c>
    </row>
    <row r="158" spans="1:34" x14ac:dyDescent="0.3">
      <c r="A158" s="1">
        <v>156</v>
      </c>
      <c r="B158" t="s">
        <v>378</v>
      </c>
      <c r="C158">
        <v>9200000</v>
      </c>
      <c r="D158">
        <v>5710008</v>
      </c>
      <c r="E158" s="2">
        <v>45847</v>
      </c>
      <c r="F158" s="2">
        <v>45853</v>
      </c>
      <c r="G158" t="s">
        <v>75</v>
      </c>
      <c r="H158" t="s">
        <v>379</v>
      </c>
      <c r="I158" t="s">
        <v>26</v>
      </c>
      <c r="J158" s="3">
        <v>45854.629861111112</v>
      </c>
      <c r="K158">
        <f t="shared" si="14"/>
        <v>7</v>
      </c>
      <c r="L158">
        <v>2025</v>
      </c>
      <c r="M158">
        <v>2025</v>
      </c>
      <c r="N158">
        <v>2025</v>
      </c>
      <c r="O158">
        <v>2025</v>
      </c>
      <c r="P158" t="s">
        <v>27</v>
      </c>
      <c r="Q158" t="s">
        <v>28</v>
      </c>
      <c r="R158" s="2">
        <v>45487</v>
      </c>
      <c r="S158">
        <v>1</v>
      </c>
      <c r="T158" t="s">
        <v>29</v>
      </c>
      <c r="U158" t="s">
        <v>40</v>
      </c>
      <c r="V158" t="s">
        <v>55</v>
      </c>
      <c r="W158" t="s">
        <v>379</v>
      </c>
      <c r="X158" t="s">
        <v>41</v>
      </c>
      <c r="Y158" t="s">
        <v>33</v>
      </c>
      <c r="Z158" t="str">
        <f t="shared" si="15"/>
        <v>0-6</v>
      </c>
      <c r="AA158" t="s">
        <v>545</v>
      </c>
      <c r="AB158">
        <v>27</v>
      </c>
      <c r="AC158" t="str" cm="1">
        <f t="array" ref="AC158">_xlfn.SWITCH(AB158,
79,"Thành phố Hồ Chí Minh",
1,"Thành phố Hà Nội",
35,"Tỉnh Hà Nam",
31,"Thành phố Hải Phòng",
27,"Tỉnh Bắc Ninh",
77,"Tỉnh Bà Rịa - Vũng Tàu",
48,"Thành phố Đà Nẵng",
75,"Tỉnh Đồng Nai",
38,"Tỉnh Thanh Hoá",
82,"Tỉnh Tiền Giang",
74,"Tỉnh Bình Dương",
49,"Tỉnh Quảng Nam",
51,"Tỉnh Quảng Ngãi",
52,"Tỉnh Bình Định",
40,"Tỉnh Nghệ An",
"Không xác định"
)</f>
        <v>Tỉnh Bắc Ninh</v>
      </c>
      <c r="AD158" t="str">
        <f t="shared" si="16"/>
        <v>62.07%</v>
      </c>
      <c r="AE158" t="s">
        <v>626</v>
      </c>
      <c r="AF158" s="8">
        <f t="shared" si="17"/>
        <v>45854</v>
      </c>
      <c r="AG158" s="8">
        <f>_xlfn.XLOOKUP(AE158, Dev!$A:$A, Dev!$B:$B, "")</f>
        <v>45748.820972222224</v>
      </c>
      <c r="AH158" s="11">
        <f t="shared" si="18"/>
        <v>105.17902777777635</v>
      </c>
    </row>
    <row r="159" spans="1:34" x14ac:dyDescent="0.3">
      <c r="A159" s="1">
        <v>157</v>
      </c>
      <c r="B159" t="s">
        <v>380</v>
      </c>
      <c r="C159">
        <v>699080</v>
      </c>
      <c r="D159">
        <v>777126</v>
      </c>
      <c r="E159" s="2">
        <v>45850</v>
      </c>
      <c r="F159" s="2">
        <v>45850</v>
      </c>
      <c r="G159" t="s">
        <v>41</v>
      </c>
      <c r="H159" t="s">
        <v>381</v>
      </c>
      <c r="I159" t="s">
        <v>26</v>
      </c>
      <c r="J159" s="3">
        <v>45854.369444444441</v>
      </c>
      <c r="K159">
        <f t="shared" si="14"/>
        <v>7</v>
      </c>
      <c r="L159">
        <v>2025</v>
      </c>
      <c r="M159">
        <v>2025</v>
      </c>
      <c r="N159">
        <v>2025</v>
      </c>
      <c r="O159">
        <v>2025</v>
      </c>
      <c r="P159" t="s">
        <v>27</v>
      </c>
      <c r="Q159" t="s">
        <v>28</v>
      </c>
      <c r="R159" s="2">
        <v>44455</v>
      </c>
      <c r="S159">
        <v>4</v>
      </c>
      <c r="T159" t="s">
        <v>29</v>
      </c>
      <c r="U159" t="s">
        <v>30</v>
      </c>
      <c r="V159" t="s">
        <v>31</v>
      </c>
      <c r="W159" t="s">
        <v>510</v>
      </c>
      <c r="X159" t="s">
        <v>32</v>
      </c>
      <c r="Y159" t="s">
        <v>33</v>
      </c>
      <c r="Z159" t="str">
        <f t="shared" si="15"/>
        <v>0-6</v>
      </c>
      <c r="AA159" t="s">
        <v>605</v>
      </c>
      <c r="AB159">
        <v>40</v>
      </c>
      <c r="AC159" t="str" cm="1">
        <f t="array" ref="AC159">_xlfn.SWITCH(AB159,
79,"Thành phố Hồ Chí Minh",
1,"Thành phố Hà Nội",
35,"Tỉnh Hà Nam",
31,"Thành phố Hải Phòng",
27,"Tỉnh Bắc Ninh",
77,"Tỉnh Bà Rịa - Vũng Tàu",
48,"Thành phố Đà Nẵng",
75,"Tỉnh Đồng Nai",
38,"Tỉnh Thanh Hoá",
82,"Tỉnh Tiền Giang",
74,"Tỉnh Bình Dương",
49,"Tỉnh Quảng Nam",
51,"Tỉnh Quảng Ngãi",
52,"Tỉnh Bình Định",
40,"Tỉnh Nghệ An",
"Không xác định"
)</f>
        <v>Tỉnh Nghệ An</v>
      </c>
      <c r="AD159" t="str">
        <f t="shared" si="16"/>
        <v>111.16%</v>
      </c>
      <c r="AE159" t="s">
        <v>686</v>
      </c>
      <c r="AF159" s="8">
        <f t="shared" si="17"/>
        <v>45854</v>
      </c>
      <c r="AG159" s="8">
        <f>_xlfn.XLOOKUP(AE159, Dev!$A:$A, Dev!$B:$B, "")</f>
        <v>45561</v>
      </c>
      <c r="AH159" s="11">
        <f t="shared" si="18"/>
        <v>293</v>
      </c>
    </row>
    <row r="160" spans="1:34" x14ac:dyDescent="0.3">
      <c r="A160" s="1">
        <v>158</v>
      </c>
      <c r="B160" t="s">
        <v>382</v>
      </c>
      <c r="C160">
        <v>430000</v>
      </c>
      <c r="D160">
        <v>344000</v>
      </c>
      <c r="E160" s="2">
        <v>45846</v>
      </c>
      <c r="F160" s="2">
        <v>45846</v>
      </c>
      <c r="G160" t="s">
        <v>57</v>
      </c>
      <c r="H160" t="s">
        <v>383</v>
      </c>
      <c r="I160" t="s">
        <v>26</v>
      </c>
      <c r="J160" s="3">
        <v>45853.489583333336</v>
      </c>
      <c r="K160">
        <f t="shared" si="14"/>
        <v>7</v>
      </c>
      <c r="L160">
        <v>2025</v>
      </c>
      <c r="M160">
        <v>2025</v>
      </c>
      <c r="N160">
        <v>2025</v>
      </c>
      <c r="O160">
        <v>2025</v>
      </c>
      <c r="P160" t="s">
        <v>27</v>
      </c>
      <c r="Q160" t="s">
        <v>28</v>
      </c>
      <c r="R160" s="2">
        <v>44507</v>
      </c>
      <c r="S160">
        <v>3</v>
      </c>
      <c r="T160" t="s">
        <v>29</v>
      </c>
      <c r="U160" t="s">
        <v>40</v>
      </c>
      <c r="V160" t="s">
        <v>31</v>
      </c>
      <c r="W160" t="s">
        <v>511</v>
      </c>
      <c r="X160" t="s">
        <v>41</v>
      </c>
      <c r="Y160" t="s">
        <v>33</v>
      </c>
      <c r="Z160" t="str">
        <f t="shared" si="15"/>
        <v>0-6</v>
      </c>
      <c r="AA160" t="s">
        <v>541</v>
      </c>
      <c r="AB160">
        <v>79</v>
      </c>
      <c r="AC160" t="str" cm="1">
        <f t="array" ref="AC160">_xlfn.SWITCH(AB160,
79,"Thành phố Hồ Chí Minh",
1,"Thành phố Hà Nội",
35,"Tỉnh Hà Nam",
31,"Thành phố Hải Phòng",
27,"Tỉnh Bắc Ninh",
77,"Tỉnh Bà Rịa - Vũng Tàu",
48,"Thành phố Đà Nẵng",
75,"Tỉnh Đồng Nai",
38,"Tỉnh Thanh Hoá",
82,"Tỉnh Tiền Giang",
74,"Tỉnh Bình Dương",
49,"Tỉnh Quảng Nam",
51,"Tỉnh Quảng Ngãi",
52,"Tỉnh Bình Định",
40,"Tỉnh Nghệ An",
"Không xác định"
)</f>
        <v>Thành phố Hồ Chí Minh</v>
      </c>
      <c r="AD160" t="str">
        <f t="shared" si="16"/>
        <v>80%</v>
      </c>
      <c r="AE160" t="s">
        <v>622</v>
      </c>
      <c r="AF160" s="8">
        <f t="shared" si="17"/>
        <v>45853</v>
      </c>
      <c r="AG160" s="8">
        <f>_xlfn.XLOOKUP(AE160, Dev!$A:$A, Dev!$B:$B, "")</f>
        <v>45618.507708333331</v>
      </c>
      <c r="AH160" s="11">
        <f t="shared" si="18"/>
        <v>234.49229166666919</v>
      </c>
    </row>
    <row r="161" spans="1:34" x14ac:dyDescent="0.3">
      <c r="A161" s="1">
        <v>159</v>
      </c>
      <c r="B161" t="s">
        <v>384</v>
      </c>
      <c r="C161">
        <v>630984</v>
      </c>
      <c r="D161">
        <v>492787</v>
      </c>
      <c r="E161" s="2">
        <v>45849</v>
      </c>
      <c r="G161" t="s">
        <v>190</v>
      </c>
      <c r="H161" t="s">
        <v>385</v>
      </c>
      <c r="I161" t="s">
        <v>26</v>
      </c>
      <c r="J161" s="3">
        <v>45852.896527777775</v>
      </c>
      <c r="K161">
        <f t="shared" si="14"/>
        <v>7</v>
      </c>
      <c r="L161">
        <v>2025</v>
      </c>
      <c r="M161">
        <v>2025</v>
      </c>
      <c r="N161">
        <v>2025</v>
      </c>
      <c r="O161">
        <v>2025</v>
      </c>
      <c r="P161" t="s">
        <v>27</v>
      </c>
      <c r="Q161" t="s">
        <v>28</v>
      </c>
      <c r="R161" s="2">
        <v>45305</v>
      </c>
      <c r="S161">
        <v>1</v>
      </c>
      <c r="T161" t="s">
        <v>29</v>
      </c>
      <c r="U161" t="s">
        <v>40</v>
      </c>
      <c r="V161" t="s">
        <v>70</v>
      </c>
      <c r="W161" t="s">
        <v>512</v>
      </c>
      <c r="X161" t="s">
        <v>32</v>
      </c>
      <c r="Y161" t="s">
        <v>33</v>
      </c>
      <c r="Z161" t="str">
        <f t="shared" si="15"/>
        <v>0-6</v>
      </c>
      <c r="AA161" t="s">
        <v>606</v>
      </c>
      <c r="AB161">
        <v>74</v>
      </c>
      <c r="AC161" t="str" cm="1">
        <f t="array" ref="AC161">_xlfn.SWITCH(AB161,
79,"Thành phố Hồ Chí Minh",
1,"Thành phố Hà Nội",
35,"Tỉnh Hà Nam",
31,"Thành phố Hải Phòng",
27,"Tỉnh Bắc Ninh",
77,"Tỉnh Bà Rịa - Vũng Tàu",
48,"Thành phố Đà Nẵng",
75,"Tỉnh Đồng Nai",
38,"Tỉnh Thanh Hoá",
82,"Tỉnh Tiền Giang",
74,"Tỉnh Bình Dương",
49,"Tỉnh Quảng Nam",
51,"Tỉnh Quảng Ngãi",
52,"Tỉnh Bình Định",
40,"Tỉnh Nghệ An",
"Không xác định"
)</f>
        <v>Tỉnh Bình Dương</v>
      </c>
      <c r="AD161" t="str">
        <f t="shared" si="16"/>
        <v>78.1%</v>
      </c>
      <c r="AE161" t="s">
        <v>687</v>
      </c>
      <c r="AF161" s="8">
        <f t="shared" si="17"/>
        <v>45852</v>
      </c>
      <c r="AG161" s="8">
        <f>_xlfn.XLOOKUP(AE161, Dev!$A:$A, Dev!$B:$B, "")</f>
        <v>45743</v>
      </c>
      <c r="AH161" s="11">
        <f t="shared" si="18"/>
        <v>109</v>
      </c>
    </row>
    <row r="162" spans="1:34" x14ac:dyDescent="0.3">
      <c r="A162" s="1">
        <v>160</v>
      </c>
      <c r="B162" t="s">
        <v>386</v>
      </c>
      <c r="C162">
        <v>676609</v>
      </c>
      <c r="D162">
        <v>279228</v>
      </c>
      <c r="E162" s="2">
        <v>45851</v>
      </c>
      <c r="G162" t="s">
        <v>24</v>
      </c>
      <c r="H162" t="s">
        <v>387</v>
      </c>
      <c r="I162" t="s">
        <v>26</v>
      </c>
      <c r="J162" s="3">
        <v>45851.928472222222</v>
      </c>
      <c r="K162">
        <f t="shared" ref="K162:K189" si="19">MONTH(J162)</f>
        <v>7</v>
      </c>
      <c r="L162">
        <v>2025</v>
      </c>
      <c r="M162">
        <v>2025</v>
      </c>
      <c r="N162">
        <v>2025</v>
      </c>
      <c r="O162">
        <v>2025</v>
      </c>
      <c r="P162" t="s">
        <v>27</v>
      </c>
      <c r="Q162" t="s">
        <v>28</v>
      </c>
      <c r="R162" s="2">
        <v>44634</v>
      </c>
      <c r="S162">
        <v>3</v>
      </c>
      <c r="T162" t="s">
        <v>29</v>
      </c>
      <c r="U162" t="s">
        <v>30</v>
      </c>
      <c r="V162" t="s">
        <v>31</v>
      </c>
      <c r="W162" t="s">
        <v>513</v>
      </c>
      <c r="X162" t="s">
        <v>32</v>
      </c>
      <c r="Y162" t="s">
        <v>33</v>
      </c>
      <c r="Z162" t="str">
        <f t="shared" ref="Z162:Z189" si="20">IF(S162&lt;=6,"0-6",
IF(S162&lt;=17,"7-17",
IF(S162&lt;=35,"18-35",
IF(S162&lt;=55,"36-55",
"56+"))))</f>
        <v>0-6</v>
      </c>
      <c r="AA162" t="s">
        <v>554</v>
      </c>
      <c r="AB162">
        <v>79</v>
      </c>
      <c r="AC162" t="str" cm="1">
        <f t="array" ref="AC162">_xlfn.SWITCH(AB162,
79,"Thành phố Hồ Chí Minh",
1,"Thành phố Hà Nội",
35,"Tỉnh Hà Nam",
31,"Thành phố Hải Phòng",
27,"Tỉnh Bắc Ninh",
77,"Tỉnh Bà Rịa - Vũng Tàu",
48,"Thành phố Đà Nẵng",
75,"Tỉnh Đồng Nai",
38,"Tỉnh Thanh Hoá",
82,"Tỉnh Tiền Giang",
74,"Tỉnh Bình Dương",
49,"Tỉnh Quảng Nam",
51,"Tỉnh Quảng Ngãi",
52,"Tỉnh Bình Định",
40,"Tỉnh Nghệ An",
"Không xác định"
)</f>
        <v>Thành phố Hồ Chí Minh</v>
      </c>
      <c r="AD162" t="str">
        <f t="shared" si="16"/>
        <v>41.27%</v>
      </c>
      <c r="AE162" t="s">
        <v>635</v>
      </c>
      <c r="AF162" s="8">
        <f t="shared" si="17"/>
        <v>45851</v>
      </c>
      <c r="AG162" s="8">
        <f>_xlfn.XLOOKUP(AE162, Dev!$A:$A, Dev!$B:$B, "")</f>
        <v>45749.551354166666</v>
      </c>
      <c r="AH162" s="11">
        <f t="shared" si="18"/>
        <v>101.44864583333401</v>
      </c>
    </row>
    <row r="163" spans="1:34" x14ac:dyDescent="0.3">
      <c r="A163" s="1">
        <v>161</v>
      </c>
      <c r="B163" t="s">
        <v>388</v>
      </c>
      <c r="C163">
        <v>1197000</v>
      </c>
      <c r="D163">
        <v>863600</v>
      </c>
      <c r="E163" s="2">
        <v>45851</v>
      </c>
      <c r="G163" t="s">
        <v>389</v>
      </c>
      <c r="H163" t="s">
        <v>390</v>
      </c>
      <c r="I163" t="s">
        <v>26</v>
      </c>
      <c r="J163" s="3">
        <v>45851.87777777778</v>
      </c>
      <c r="K163">
        <f t="shared" si="19"/>
        <v>7</v>
      </c>
      <c r="L163">
        <v>2025</v>
      </c>
      <c r="M163">
        <v>2025</v>
      </c>
      <c r="N163">
        <v>2025</v>
      </c>
      <c r="O163">
        <v>2025</v>
      </c>
      <c r="P163" t="s">
        <v>27</v>
      </c>
      <c r="Q163" t="s">
        <v>28</v>
      </c>
      <c r="R163" s="2">
        <v>45213</v>
      </c>
      <c r="S163">
        <v>2</v>
      </c>
      <c r="T163" t="s">
        <v>29</v>
      </c>
      <c r="U163" t="s">
        <v>40</v>
      </c>
      <c r="V163" t="s">
        <v>31</v>
      </c>
      <c r="W163" t="s">
        <v>514</v>
      </c>
      <c r="X163" t="s">
        <v>77</v>
      </c>
      <c r="Y163" t="s">
        <v>33</v>
      </c>
      <c r="Z163" t="str">
        <f t="shared" si="20"/>
        <v>0-6</v>
      </c>
      <c r="AA163" t="s">
        <v>607</v>
      </c>
      <c r="AB163">
        <v>1</v>
      </c>
      <c r="AC163" t="str" cm="1">
        <f t="array" ref="AC163">_xlfn.SWITCH(AB163,
79,"Thành phố Hồ Chí Minh",
1,"Thành phố Hà Nội",
35,"Tỉnh Hà Nam",
31,"Thành phố Hải Phòng",
27,"Tỉnh Bắc Ninh",
77,"Tỉnh Bà Rịa - Vũng Tàu",
48,"Thành phố Đà Nẵng",
75,"Tỉnh Đồng Nai",
38,"Tỉnh Thanh Hoá",
82,"Tỉnh Tiền Giang",
74,"Tỉnh Bình Dương",
49,"Tỉnh Quảng Nam",
51,"Tỉnh Quảng Ngãi",
52,"Tỉnh Bình Định",
40,"Tỉnh Nghệ An",
"Không xác định"
)</f>
        <v>Thành phố Hà Nội</v>
      </c>
      <c r="AD163" t="str">
        <f t="shared" si="16"/>
        <v>72.15%</v>
      </c>
      <c r="AE163" t="s">
        <v>688</v>
      </c>
      <c r="AF163" s="8">
        <f t="shared" si="17"/>
        <v>45851</v>
      </c>
      <c r="AG163" s="8">
        <f>_xlfn.XLOOKUP(AE163, Dev!$A:$A, Dev!$B:$B, "")</f>
        <v>45713.689409722225</v>
      </c>
      <c r="AH163" s="11">
        <f t="shared" si="18"/>
        <v>137.31059027777519</v>
      </c>
    </row>
    <row r="164" spans="1:34" x14ac:dyDescent="0.3">
      <c r="A164" s="1">
        <v>162</v>
      </c>
      <c r="B164" t="s">
        <v>391</v>
      </c>
      <c r="C164">
        <v>1233167</v>
      </c>
      <c r="D164">
        <v>640000</v>
      </c>
      <c r="E164" s="2">
        <v>45848</v>
      </c>
      <c r="F164" s="2">
        <v>45848</v>
      </c>
      <c r="G164" t="s">
        <v>24</v>
      </c>
      <c r="H164" t="s">
        <v>392</v>
      </c>
      <c r="I164" t="s">
        <v>26</v>
      </c>
      <c r="J164" s="3">
        <v>45850.938888888886</v>
      </c>
      <c r="K164">
        <f t="shared" si="19"/>
        <v>7</v>
      </c>
      <c r="L164">
        <v>2025</v>
      </c>
      <c r="M164">
        <v>2025</v>
      </c>
      <c r="N164">
        <v>2025</v>
      </c>
      <c r="O164">
        <v>2025</v>
      </c>
      <c r="P164" t="s">
        <v>27</v>
      </c>
      <c r="Q164" t="s">
        <v>28</v>
      </c>
      <c r="R164" s="2">
        <v>44634</v>
      </c>
      <c r="S164">
        <v>3</v>
      </c>
      <c r="T164" t="s">
        <v>29</v>
      </c>
      <c r="U164" t="s">
        <v>30</v>
      </c>
      <c r="V164" t="s">
        <v>31</v>
      </c>
      <c r="W164" t="s">
        <v>515</v>
      </c>
      <c r="X164" t="s">
        <v>41</v>
      </c>
      <c r="Y164" t="s">
        <v>33</v>
      </c>
      <c r="Z164" t="str">
        <f t="shared" si="20"/>
        <v>0-6</v>
      </c>
      <c r="AA164" t="s">
        <v>554</v>
      </c>
      <c r="AB164">
        <v>79</v>
      </c>
      <c r="AC164" t="str" cm="1">
        <f t="array" ref="AC164">_xlfn.SWITCH(AB164,
79,"Thành phố Hồ Chí Minh",
1,"Thành phố Hà Nội",
35,"Tỉnh Hà Nam",
31,"Thành phố Hải Phòng",
27,"Tỉnh Bắc Ninh",
77,"Tỉnh Bà Rịa - Vũng Tàu",
48,"Thành phố Đà Nẵng",
75,"Tỉnh Đồng Nai",
38,"Tỉnh Thanh Hoá",
82,"Tỉnh Tiền Giang",
74,"Tỉnh Bình Dương",
49,"Tỉnh Quảng Nam",
51,"Tỉnh Quảng Ngãi",
52,"Tỉnh Bình Định",
40,"Tỉnh Nghệ An",
"Không xác định"
)</f>
        <v>Thành phố Hồ Chí Minh</v>
      </c>
      <c r="AD164" t="str">
        <f t="shared" si="16"/>
        <v>51.9%</v>
      </c>
      <c r="AE164" t="s">
        <v>635</v>
      </c>
      <c r="AF164" s="8">
        <f t="shared" si="17"/>
        <v>45850</v>
      </c>
      <c r="AG164" s="8">
        <f>_xlfn.XLOOKUP(AE164, Dev!$A:$A, Dev!$B:$B, "")</f>
        <v>45749.551354166666</v>
      </c>
      <c r="AH164" s="11">
        <f t="shared" si="18"/>
        <v>100.44864583333401</v>
      </c>
    </row>
    <row r="165" spans="1:34" x14ac:dyDescent="0.3">
      <c r="A165" s="1">
        <v>163</v>
      </c>
      <c r="B165" t="s">
        <v>393</v>
      </c>
      <c r="C165">
        <v>621472</v>
      </c>
      <c r="D165">
        <v>621472</v>
      </c>
      <c r="E165" s="2">
        <v>45846</v>
      </c>
      <c r="F165" s="2">
        <v>45846</v>
      </c>
      <c r="G165" t="s">
        <v>394</v>
      </c>
      <c r="H165" t="s">
        <v>395</v>
      </c>
      <c r="I165" t="s">
        <v>26</v>
      </c>
      <c r="J165" s="3">
        <v>45849.9375</v>
      </c>
      <c r="K165">
        <f t="shared" si="19"/>
        <v>7</v>
      </c>
      <c r="L165">
        <v>2025</v>
      </c>
      <c r="M165">
        <v>2025</v>
      </c>
      <c r="N165">
        <v>2025</v>
      </c>
      <c r="O165">
        <v>2025</v>
      </c>
      <c r="P165" t="s">
        <v>27</v>
      </c>
      <c r="Q165" t="s">
        <v>28</v>
      </c>
      <c r="R165" s="2">
        <v>43674</v>
      </c>
      <c r="S165">
        <v>6</v>
      </c>
      <c r="T165" t="s">
        <v>29</v>
      </c>
      <c r="U165" t="s">
        <v>40</v>
      </c>
      <c r="V165" t="s">
        <v>31</v>
      </c>
      <c r="W165" t="s">
        <v>516</v>
      </c>
      <c r="X165" t="s">
        <v>41</v>
      </c>
      <c r="Y165" t="s">
        <v>33</v>
      </c>
      <c r="Z165" t="str">
        <f t="shared" si="20"/>
        <v>0-6</v>
      </c>
      <c r="AA165" t="s">
        <v>608</v>
      </c>
      <c r="AB165">
        <v>27</v>
      </c>
      <c r="AC165" t="str" cm="1">
        <f t="array" ref="AC165">_xlfn.SWITCH(AB165,
79,"Thành phố Hồ Chí Minh",
1,"Thành phố Hà Nội",
35,"Tỉnh Hà Nam",
31,"Thành phố Hải Phòng",
27,"Tỉnh Bắc Ninh",
77,"Tỉnh Bà Rịa - Vũng Tàu",
48,"Thành phố Đà Nẵng",
75,"Tỉnh Đồng Nai",
38,"Tỉnh Thanh Hoá",
82,"Tỉnh Tiền Giang",
74,"Tỉnh Bình Dương",
49,"Tỉnh Quảng Nam",
51,"Tỉnh Quảng Ngãi",
52,"Tỉnh Bình Định",
40,"Tỉnh Nghệ An",
"Không xác định"
)</f>
        <v>Tỉnh Bắc Ninh</v>
      </c>
      <c r="AD165" t="str">
        <f t="shared" si="16"/>
        <v>100%</v>
      </c>
      <c r="AE165" t="s">
        <v>689</v>
      </c>
      <c r="AF165" s="8">
        <f t="shared" si="17"/>
        <v>45849</v>
      </c>
      <c r="AG165" s="8">
        <f>_xlfn.XLOOKUP(AE165, Dev!$A:$A, Dev!$B:$B, "")</f>
        <v>45671.646087962959</v>
      </c>
      <c r="AH165" s="11">
        <f t="shared" si="18"/>
        <v>177.35391203704057</v>
      </c>
    </row>
    <row r="166" spans="1:34" x14ac:dyDescent="0.3">
      <c r="A166" s="1">
        <v>164</v>
      </c>
      <c r="B166" t="s">
        <v>396</v>
      </c>
      <c r="C166">
        <v>604296</v>
      </c>
      <c r="D166">
        <v>604296</v>
      </c>
      <c r="E166" s="2">
        <v>45847</v>
      </c>
      <c r="F166" s="2">
        <v>45847</v>
      </c>
      <c r="G166" t="s">
        <v>397</v>
      </c>
      <c r="H166" t="s">
        <v>398</v>
      </c>
      <c r="I166" t="s">
        <v>26</v>
      </c>
      <c r="J166" s="3">
        <v>45849.476388888892</v>
      </c>
      <c r="K166">
        <f t="shared" si="19"/>
        <v>7</v>
      </c>
      <c r="L166">
        <v>2025</v>
      </c>
      <c r="M166">
        <v>2025</v>
      </c>
      <c r="N166">
        <v>2025</v>
      </c>
      <c r="O166">
        <v>2025</v>
      </c>
      <c r="P166" t="s">
        <v>27</v>
      </c>
      <c r="Q166" t="s">
        <v>28</v>
      </c>
      <c r="R166" s="2">
        <v>45094</v>
      </c>
      <c r="S166">
        <v>2</v>
      </c>
      <c r="T166" t="s">
        <v>29</v>
      </c>
      <c r="U166" t="s">
        <v>40</v>
      </c>
      <c r="V166" t="s">
        <v>31</v>
      </c>
      <c r="W166" t="s">
        <v>517</v>
      </c>
      <c r="X166" t="s">
        <v>179</v>
      </c>
      <c r="Y166" t="s">
        <v>33</v>
      </c>
      <c r="Z166" t="str">
        <f t="shared" si="20"/>
        <v>0-6</v>
      </c>
      <c r="AA166" t="s">
        <v>609</v>
      </c>
      <c r="AB166">
        <v>79</v>
      </c>
      <c r="AC166" t="str" cm="1">
        <f t="array" ref="AC166">_xlfn.SWITCH(AB166,
79,"Thành phố Hồ Chí Minh",
1,"Thành phố Hà Nội",
35,"Tỉnh Hà Nam",
31,"Thành phố Hải Phòng",
27,"Tỉnh Bắc Ninh",
77,"Tỉnh Bà Rịa - Vũng Tàu",
48,"Thành phố Đà Nẵng",
75,"Tỉnh Đồng Nai",
38,"Tỉnh Thanh Hoá",
82,"Tỉnh Tiền Giang",
74,"Tỉnh Bình Dương",
49,"Tỉnh Quảng Nam",
51,"Tỉnh Quảng Ngãi",
52,"Tỉnh Bình Định",
40,"Tỉnh Nghệ An",
"Không xác định"
)</f>
        <v>Thành phố Hồ Chí Minh</v>
      </c>
      <c r="AD166" t="str">
        <f t="shared" si="16"/>
        <v>100%</v>
      </c>
      <c r="AE166" t="s">
        <v>690</v>
      </c>
      <c r="AF166" s="8">
        <f t="shared" si="17"/>
        <v>45849</v>
      </c>
      <c r="AG166" s="8">
        <f>_xlfn.XLOOKUP(AE166, Dev!$A:$A, Dev!$B:$B, "")</f>
        <v>45641</v>
      </c>
      <c r="AH166" s="11">
        <f t="shared" si="18"/>
        <v>208</v>
      </c>
    </row>
    <row r="167" spans="1:34" x14ac:dyDescent="0.3">
      <c r="A167" s="1">
        <v>165</v>
      </c>
      <c r="B167" t="s">
        <v>399</v>
      </c>
      <c r="C167">
        <v>431846</v>
      </c>
      <c r="D167">
        <v>431846</v>
      </c>
      <c r="E167" s="2">
        <v>45845</v>
      </c>
      <c r="F167" s="2">
        <v>45845</v>
      </c>
      <c r="G167" t="s">
        <v>397</v>
      </c>
      <c r="H167" t="s">
        <v>398</v>
      </c>
      <c r="I167" t="s">
        <v>26</v>
      </c>
      <c r="J167" s="3">
        <v>45849.473611111112</v>
      </c>
      <c r="K167">
        <f t="shared" si="19"/>
        <v>7</v>
      </c>
      <c r="L167">
        <v>2025</v>
      </c>
      <c r="M167">
        <v>2025</v>
      </c>
      <c r="N167">
        <v>2025</v>
      </c>
      <c r="O167">
        <v>2025</v>
      </c>
      <c r="P167" t="s">
        <v>27</v>
      </c>
      <c r="Q167" t="s">
        <v>28</v>
      </c>
      <c r="R167" s="2">
        <v>45094</v>
      </c>
      <c r="S167">
        <v>2</v>
      </c>
      <c r="T167" t="s">
        <v>29</v>
      </c>
      <c r="U167" t="s">
        <v>40</v>
      </c>
      <c r="V167" t="s">
        <v>31</v>
      </c>
      <c r="W167" t="s">
        <v>517</v>
      </c>
      <c r="X167" t="s">
        <v>179</v>
      </c>
      <c r="Y167" t="s">
        <v>33</v>
      </c>
      <c r="Z167" t="str">
        <f t="shared" si="20"/>
        <v>0-6</v>
      </c>
      <c r="AA167" t="s">
        <v>609</v>
      </c>
      <c r="AB167">
        <v>79</v>
      </c>
      <c r="AC167" t="str" cm="1">
        <f t="array" ref="AC167">_xlfn.SWITCH(AB167,
79,"Thành phố Hồ Chí Minh",
1,"Thành phố Hà Nội",
35,"Tỉnh Hà Nam",
31,"Thành phố Hải Phòng",
27,"Tỉnh Bắc Ninh",
77,"Tỉnh Bà Rịa - Vũng Tàu",
48,"Thành phố Đà Nẵng",
75,"Tỉnh Đồng Nai",
38,"Tỉnh Thanh Hoá",
82,"Tỉnh Tiền Giang",
74,"Tỉnh Bình Dương",
49,"Tỉnh Quảng Nam",
51,"Tỉnh Quảng Ngãi",
52,"Tỉnh Bình Định",
40,"Tỉnh Nghệ An",
"Không xác định"
)</f>
        <v>Thành phố Hồ Chí Minh</v>
      </c>
      <c r="AD167" t="str">
        <f t="shared" si="16"/>
        <v>100%</v>
      </c>
      <c r="AE167" t="s">
        <v>690</v>
      </c>
      <c r="AF167" s="8">
        <f t="shared" si="17"/>
        <v>45849</v>
      </c>
      <c r="AG167" s="8">
        <f>_xlfn.XLOOKUP(AE167, Dev!$A:$A, Dev!$B:$B, "")</f>
        <v>45641</v>
      </c>
      <c r="AH167" s="11">
        <f t="shared" si="18"/>
        <v>208</v>
      </c>
    </row>
    <row r="168" spans="1:34" x14ac:dyDescent="0.3">
      <c r="A168" s="1">
        <v>166</v>
      </c>
      <c r="B168" t="s">
        <v>400</v>
      </c>
      <c r="C168">
        <v>1289263</v>
      </c>
      <c r="D168">
        <v>1011410</v>
      </c>
      <c r="E168" s="2">
        <v>45843</v>
      </c>
      <c r="F168" s="2">
        <v>45843</v>
      </c>
      <c r="G168" t="s">
        <v>24</v>
      </c>
      <c r="H168" t="s">
        <v>401</v>
      </c>
      <c r="I168" t="s">
        <v>26</v>
      </c>
      <c r="J168" s="3">
        <v>45848.890972222223</v>
      </c>
      <c r="K168">
        <f t="shared" si="19"/>
        <v>7</v>
      </c>
      <c r="L168">
        <v>2025</v>
      </c>
      <c r="M168">
        <v>2025</v>
      </c>
      <c r="N168">
        <v>2025</v>
      </c>
      <c r="O168">
        <v>2025</v>
      </c>
      <c r="P168" t="s">
        <v>27</v>
      </c>
      <c r="Q168" t="s">
        <v>28</v>
      </c>
      <c r="R168" s="2">
        <v>45656</v>
      </c>
      <c r="S168">
        <v>0</v>
      </c>
      <c r="T168" t="s">
        <v>29</v>
      </c>
      <c r="U168" t="s">
        <v>40</v>
      </c>
      <c r="V168" t="s">
        <v>31</v>
      </c>
      <c r="W168" t="s">
        <v>518</v>
      </c>
      <c r="X168" t="s">
        <v>77</v>
      </c>
      <c r="Y168" t="s">
        <v>33</v>
      </c>
      <c r="Z168" t="str">
        <f t="shared" si="20"/>
        <v>0-6</v>
      </c>
      <c r="AA168" t="s">
        <v>573</v>
      </c>
      <c r="AB168">
        <v>82</v>
      </c>
      <c r="AC168" t="str" cm="1">
        <f t="array" ref="AC168">_xlfn.SWITCH(AB168,
79,"Thành phố Hồ Chí Minh",
1,"Thành phố Hà Nội",
35,"Tỉnh Hà Nam",
31,"Thành phố Hải Phòng",
27,"Tỉnh Bắc Ninh",
77,"Tỉnh Bà Rịa - Vũng Tàu",
48,"Thành phố Đà Nẵng",
75,"Tỉnh Đồng Nai",
38,"Tỉnh Thanh Hoá",
82,"Tỉnh Tiền Giang",
74,"Tỉnh Bình Dương",
49,"Tỉnh Quảng Nam",
51,"Tỉnh Quảng Ngãi",
52,"Tỉnh Bình Định",
40,"Tỉnh Nghệ An",
"Không xác định"
)</f>
        <v>Tỉnh Tiền Giang</v>
      </c>
      <c r="AD168" t="str">
        <f t="shared" si="16"/>
        <v>78.45%</v>
      </c>
      <c r="AE168" t="s">
        <v>654</v>
      </c>
      <c r="AF168" s="8">
        <f t="shared" si="17"/>
        <v>45848</v>
      </c>
      <c r="AG168" s="8">
        <f>_xlfn.XLOOKUP(AE168, Dev!$A:$A, Dev!$B:$B, "")</f>
        <v>45710.506944444445</v>
      </c>
      <c r="AH168" s="11">
        <f t="shared" si="18"/>
        <v>137.49305555555475</v>
      </c>
    </row>
    <row r="169" spans="1:34" x14ac:dyDescent="0.3">
      <c r="A169" s="1">
        <v>167</v>
      </c>
      <c r="B169" t="s">
        <v>402</v>
      </c>
      <c r="C169">
        <v>680000</v>
      </c>
      <c r="D169">
        <v>431200</v>
      </c>
      <c r="E169" s="2">
        <v>45848</v>
      </c>
      <c r="G169" t="s">
        <v>272</v>
      </c>
      <c r="H169" t="s">
        <v>219</v>
      </c>
      <c r="I169" t="s">
        <v>26</v>
      </c>
      <c r="J169" s="3">
        <v>45848.668055555558</v>
      </c>
      <c r="K169">
        <f t="shared" si="19"/>
        <v>7</v>
      </c>
      <c r="L169">
        <v>2025</v>
      </c>
      <c r="M169">
        <v>2025</v>
      </c>
      <c r="N169">
        <v>2025</v>
      </c>
      <c r="O169">
        <v>2025</v>
      </c>
      <c r="P169" t="s">
        <v>27</v>
      </c>
      <c r="Q169" t="s">
        <v>28</v>
      </c>
      <c r="R169" s="2">
        <v>45463</v>
      </c>
      <c r="S169">
        <v>1</v>
      </c>
      <c r="T169" t="s">
        <v>29</v>
      </c>
      <c r="U169" t="s">
        <v>30</v>
      </c>
      <c r="V169" t="s">
        <v>70</v>
      </c>
      <c r="W169" t="s">
        <v>82</v>
      </c>
      <c r="X169" t="s">
        <v>32</v>
      </c>
      <c r="Y169" t="s">
        <v>33</v>
      </c>
      <c r="Z169" t="str">
        <f t="shared" si="20"/>
        <v>0-6</v>
      </c>
      <c r="AA169" t="s">
        <v>590</v>
      </c>
      <c r="AB169">
        <v>31</v>
      </c>
      <c r="AC169" t="str" cm="1">
        <f t="array" ref="AC169">_xlfn.SWITCH(AB169,
79,"Thành phố Hồ Chí Minh",
1,"Thành phố Hà Nội",
35,"Tỉnh Hà Nam",
31,"Thành phố Hải Phòng",
27,"Tỉnh Bắc Ninh",
77,"Tỉnh Bà Rịa - Vũng Tàu",
48,"Thành phố Đà Nẵng",
75,"Tỉnh Đồng Nai",
38,"Tỉnh Thanh Hoá",
82,"Tỉnh Tiền Giang",
74,"Tỉnh Bình Dương",
49,"Tỉnh Quảng Nam",
51,"Tỉnh Quảng Ngãi",
52,"Tỉnh Bình Định",
40,"Tỉnh Nghệ An",
"Không xác định"
)</f>
        <v>Thành phố Hải Phòng</v>
      </c>
      <c r="AD169" t="str">
        <f t="shared" si="16"/>
        <v>63.41%</v>
      </c>
      <c r="AE169" t="s">
        <v>671</v>
      </c>
      <c r="AF169" s="8">
        <f t="shared" si="17"/>
        <v>45848</v>
      </c>
      <c r="AG169" s="8">
        <f>_xlfn.XLOOKUP(AE169, Dev!$A:$A, Dev!$B:$B, "")</f>
        <v>45789.722129629627</v>
      </c>
      <c r="AH169" s="11">
        <f t="shared" si="18"/>
        <v>58.277870370373421</v>
      </c>
    </row>
    <row r="170" spans="1:34" x14ac:dyDescent="0.3">
      <c r="A170" s="1">
        <v>168</v>
      </c>
      <c r="B170" t="s">
        <v>403</v>
      </c>
      <c r="C170">
        <v>579750</v>
      </c>
      <c r="D170">
        <v>463800</v>
      </c>
      <c r="E170" s="2">
        <v>45830</v>
      </c>
      <c r="F170" s="2">
        <v>45830</v>
      </c>
      <c r="G170" t="s">
        <v>153</v>
      </c>
      <c r="H170" t="s">
        <v>404</v>
      </c>
      <c r="I170" t="s">
        <v>26</v>
      </c>
      <c r="J170" s="3">
        <v>45847.792361111111</v>
      </c>
      <c r="K170">
        <f t="shared" si="19"/>
        <v>7</v>
      </c>
      <c r="L170">
        <v>2025</v>
      </c>
      <c r="M170">
        <v>2025</v>
      </c>
      <c r="N170">
        <v>2025</v>
      </c>
      <c r="O170">
        <v>2025</v>
      </c>
      <c r="P170" t="s">
        <v>27</v>
      </c>
      <c r="Q170" t="s">
        <v>28</v>
      </c>
      <c r="R170" s="2">
        <v>44833</v>
      </c>
      <c r="S170">
        <v>3</v>
      </c>
      <c r="T170" t="s">
        <v>29</v>
      </c>
      <c r="U170" t="s">
        <v>40</v>
      </c>
      <c r="V170" t="s">
        <v>31</v>
      </c>
      <c r="W170" t="s">
        <v>519</v>
      </c>
      <c r="X170" t="s">
        <v>77</v>
      </c>
      <c r="Y170" t="s">
        <v>33</v>
      </c>
      <c r="Z170" t="str">
        <f t="shared" si="20"/>
        <v>0-6</v>
      </c>
      <c r="AA170" t="s">
        <v>566</v>
      </c>
      <c r="AB170">
        <v>79</v>
      </c>
      <c r="AC170" t="str" cm="1">
        <f t="array" ref="AC170">_xlfn.SWITCH(AB170,
79,"Thành phố Hồ Chí Minh",
1,"Thành phố Hà Nội",
35,"Tỉnh Hà Nam",
31,"Thành phố Hải Phòng",
27,"Tỉnh Bắc Ninh",
77,"Tỉnh Bà Rịa - Vũng Tàu",
48,"Thành phố Đà Nẵng",
75,"Tỉnh Đồng Nai",
38,"Tỉnh Thanh Hoá",
82,"Tỉnh Tiền Giang",
74,"Tỉnh Bình Dương",
49,"Tỉnh Quảng Nam",
51,"Tỉnh Quảng Ngãi",
52,"Tỉnh Bình Định",
40,"Tỉnh Nghệ An",
"Không xác định"
)</f>
        <v>Thành phố Hồ Chí Minh</v>
      </c>
      <c r="AD170" t="str">
        <f t="shared" si="16"/>
        <v>80%</v>
      </c>
      <c r="AE170" t="s">
        <v>647</v>
      </c>
      <c r="AF170" s="8">
        <f t="shared" si="17"/>
        <v>45847</v>
      </c>
      <c r="AG170" s="8">
        <f>_xlfn.XLOOKUP(AE170, Dev!$A:$A, Dev!$B:$B, "")</f>
        <v>45649</v>
      </c>
      <c r="AH170" s="11">
        <f t="shared" si="18"/>
        <v>198</v>
      </c>
    </row>
    <row r="171" spans="1:34" x14ac:dyDescent="0.3">
      <c r="A171" s="1">
        <v>169</v>
      </c>
      <c r="B171" t="s">
        <v>405</v>
      </c>
      <c r="C171">
        <v>380382</v>
      </c>
      <c r="D171">
        <v>380382</v>
      </c>
      <c r="E171" s="2">
        <v>45846</v>
      </c>
      <c r="F171" s="2">
        <v>45846</v>
      </c>
      <c r="G171" t="s">
        <v>66</v>
      </c>
      <c r="H171" t="s">
        <v>406</v>
      </c>
      <c r="I171" t="s">
        <v>26</v>
      </c>
      <c r="J171" s="3">
        <v>45847.418055555558</v>
      </c>
      <c r="K171">
        <f t="shared" si="19"/>
        <v>7</v>
      </c>
      <c r="L171">
        <v>2025</v>
      </c>
      <c r="M171">
        <v>2025</v>
      </c>
      <c r="N171">
        <v>2025</v>
      </c>
      <c r="O171">
        <v>2025</v>
      </c>
      <c r="P171" t="s">
        <v>27</v>
      </c>
      <c r="Q171" t="s">
        <v>28</v>
      </c>
      <c r="R171" s="2">
        <v>45609</v>
      </c>
      <c r="S171">
        <v>0</v>
      </c>
      <c r="T171" t="s">
        <v>29</v>
      </c>
      <c r="U171" t="s">
        <v>40</v>
      </c>
      <c r="V171" t="s">
        <v>31</v>
      </c>
      <c r="W171" t="s">
        <v>520</v>
      </c>
      <c r="X171" t="s">
        <v>36</v>
      </c>
      <c r="Y171" t="s">
        <v>33</v>
      </c>
      <c r="Z171" t="str">
        <f t="shared" si="20"/>
        <v>0-6</v>
      </c>
      <c r="AA171" t="s">
        <v>565</v>
      </c>
      <c r="AB171">
        <v>75</v>
      </c>
      <c r="AC171" t="str" cm="1">
        <f t="array" ref="AC171">_xlfn.SWITCH(AB171,
79,"Thành phố Hồ Chí Minh",
1,"Thành phố Hà Nội",
35,"Tỉnh Hà Nam",
31,"Thành phố Hải Phòng",
27,"Tỉnh Bắc Ninh",
77,"Tỉnh Bà Rịa - Vũng Tàu",
48,"Thành phố Đà Nẵng",
75,"Tỉnh Đồng Nai",
38,"Tỉnh Thanh Hoá",
82,"Tỉnh Tiền Giang",
74,"Tỉnh Bình Dương",
49,"Tỉnh Quảng Nam",
51,"Tỉnh Quảng Ngãi",
52,"Tỉnh Bình Định",
40,"Tỉnh Nghệ An",
"Không xác định"
)</f>
        <v>Tỉnh Đồng Nai</v>
      </c>
      <c r="AD171" t="str">
        <f t="shared" si="16"/>
        <v>100%</v>
      </c>
      <c r="AE171" t="s">
        <v>646</v>
      </c>
      <c r="AF171" s="8">
        <f t="shared" si="17"/>
        <v>45847</v>
      </c>
      <c r="AG171" s="8">
        <f>_xlfn.XLOOKUP(AE171, Dev!$A:$A, Dev!$B:$B, "")</f>
        <v>45729.416770833333</v>
      </c>
      <c r="AH171" s="11">
        <f t="shared" si="18"/>
        <v>117.58322916666657</v>
      </c>
    </row>
    <row r="172" spans="1:34" x14ac:dyDescent="0.3">
      <c r="A172" s="1">
        <v>170</v>
      </c>
      <c r="B172" t="s">
        <v>407</v>
      </c>
      <c r="C172">
        <v>457470</v>
      </c>
      <c r="D172">
        <v>457470</v>
      </c>
      <c r="E172" s="2">
        <v>45843</v>
      </c>
      <c r="F172" s="2">
        <v>45843</v>
      </c>
      <c r="G172" t="s">
        <v>66</v>
      </c>
      <c r="H172" t="s">
        <v>408</v>
      </c>
      <c r="I172" t="s">
        <v>26</v>
      </c>
      <c r="J172" s="3">
        <v>45847.415277777778</v>
      </c>
      <c r="K172">
        <f t="shared" si="19"/>
        <v>7</v>
      </c>
      <c r="L172">
        <v>2025</v>
      </c>
      <c r="M172">
        <v>2025</v>
      </c>
      <c r="N172">
        <v>2025</v>
      </c>
      <c r="O172">
        <v>2025</v>
      </c>
      <c r="P172" t="s">
        <v>27</v>
      </c>
      <c r="Q172" t="s">
        <v>28</v>
      </c>
      <c r="R172" s="2">
        <v>45609</v>
      </c>
      <c r="S172">
        <v>0</v>
      </c>
      <c r="T172" t="s">
        <v>29</v>
      </c>
      <c r="U172" t="s">
        <v>40</v>
      </c>
      <c r="V172" t="s">
        <v>31</v>
      </c>
      <c r="W172" t="s">
        <v>521</v>
      </c>
      <c r="X172" t="s">
        <v>32</v>
      </c>
      <c r="Y172" t="s">
        <v>33</v>
      </c>
      <c r="Z172" t="str">
        <f t="shared" si="20"/>
        <v>0-6</v>
      </c>
      <c r="AA172" t="s">
        <v>565</v>
      </c>
      <c r="AB172">
        <v>75</v>
      </c>
      <c r="AC172" t="str" cm="1">
        <f t="array" ref="AC172">_xlfn.SWITCH(AB172,
79,"Thành phố Hồ Chí Minh",
1,"Thành phố Hà Nội",
35,"Tỉnh Hà Nam",
31,"Thành phố Hải Phòng",
27,"Tỉnh Bắc Ninh",
77,"Tỉnh Bà Rịa - Vũng Tàu",
48,"Thành phố Đà Nẵng",
75,"Tỉnh Đồng Nai",
38,"Tỉnh Thanh Hoá",
82,"Tỉnh Tiền Giang",
74,"Tỉnh Bình Dương",
49,"Tỉnh Quảng Nam",
51,"Tỉnh Quảng Ngãi",
52,"Tỉnh Bình Định",
40,"Tỉnh Nghệ An",
"Không xác định"
)</f>
        <v>Tỉnh Đồng Nai</v>
      </c>
      <c r="AD172" t="str">
        <f t="shared" si="16"/>
        <v>100%</v>
      </c>
      <c r="AE172" t="s">
        <v>646</v>
      </c>
      <c r="AF172" s="8">
        <f t="shared" si="17"/>
        <v>45847</v>
      </c>
      <c r="AG172" s="8">
        <f>_xlfn.XLOOKUP(AE172, Dev!$A:$A, Dev!$B:$B, "")</f>
        <v>45729.416770833333</v>
      </c>
      <c r="AH172" s="11">
        <f t="shared" si="18"/>
        <v>117.58322916666657</v>
      </c>
    </row>
    <row r="173" spans="1:34" x14ac:dyDescent="0.3">
      <c r="A173" s="1">
        <v>171</v>
      </c>
      <c r="B173" t="s">
        <v>409</v>
      </c>
      <c r="C173">
        <v>337000</v>
      </c>
      <c r="D173">
        <v>224000</v>
      </c>
      <c r="E173" s="2">
        <v>45839</v>
      </c>
      <c r="F173" s="2">
        <v>45839</v>
      </c>
      <c r="G173" t="s">
        <v>113</v>
      </c>
      <c r="H173" t="s">
        <v>213</v>
      </c>
      <c r="I173" t="s">
        <v>26</v>
      </c>
      <c r="J173" s="3">
        <v>45846.696527777778</v>
      </c>
      <c r="K173">
        <f t="shared" si="19"/>
        <v>7</v>
      </c>
      <c r="L173">
        <v>2025</v>
      </c>
      <c r="M173">
        <v>2025</v>
      </c>
      <c r="N173">
        <v>2025</v>
      </c>
      <c r="O173">
        <v>2025</v>
      </c>
      <c r="P173" t="s">
        <v>27</v>
      </c>
      <c r="Q173" t="s">
        <v>28</v>
      </c>
      <c r="R173" s="2">
        <v>44269</v>
      </c>
      <c r="S173">
        <v>4</v>
      </c>
      <c r="T173" t="s">
        <v>29</v>
      </c>
      <c r="U173" t="s">
        <v>40</v>
      </c>
      <c r="V173" t="s">
        <v>31</v>
      </c>
      <c r="W173" t="s">
        <v>213</v>
      </c>
      <c r="X173" t="s">
        <v>32</v>
      </c>
      <c r="Y173" t="s">
        <v>33</v>
      </c>
      <c r="Z173" t="str">
        <f t="shared" si="20"/>
        <v>0-6</v>
      </c>
      <c r="AA173" t="s">
        <v>539</v>
      </c>
      <c r="AB173">
        <v>79</v>
      </c>
      <c r="AC173" t="str" cm="1">
        <f t="array" ref="AC173">_xlfn.SWITCH(AB173,
79,"Thành phố Hồ Chí Minh",
1,"Thành phố Hà Nội",
35,"Tỉnh Hà Nam",
31,"Thành phố Hải Phòng",
27,"Tỉnh Bắc Ninh",
77,"Tỉnh Bà Rịa - Vũng Tàu",
48,"Thành phố Đà Nẵng",
75,"Tỉnh Đồng Nai",
38,"Tỉnh Thanh Hoá",
82,"Tỉnh Tiền Giang",
74,"Tỉnh Bình Dương",
49,"Tỉnh Quảng Nam",
51,"Tỉnh Quảng Ngãi",
52,"Tỉnh Bình Định",
40,"Tỉnh Nghệ An",
"Không xác định"
)</f>
        <v>Thành phố Hồ Chí Minh</v>
      </c>
      <c r="AD173" t="str">
        <f t="shared" si="16"/>
        <v>66.47%</v>
      </c>
      <c r="AE173" t="s">
        <v>620</v>
      </c>
      <c r="AF173" s="8">
        <f t="shared" si="17"/>
        <v>45846</v>
      </c>
      <c r="AG173" s="8">
        <f>_xlfn.XLOOKUP(AE173, Dev!$A:$A, Dev!$B:$B, "")</f>
        <v>45689</v>
      </c>
      <c r="AH173" s="11">
        <f t="shared" si="18"/>
        <v>157</v>
      </c>
    </row>
    <row r="174" spans="1:34" x14ac:dyDescent="0.3">
      <c r="A174" s="1">
        <v>172</v>
      </c>
      <c r="B174" t="s">
        <v>410</v>
      </c>
      <c r="C174">
        <v>352000</v>
      </c>
      <c r="D174">
        <v>236000</v>
      </c>
      <c r="E174" s="2">
        <v>45836</v>
      </c>
      <c r="F174" s="2">
        <v>45836</v>
      </c>
      <c r="G174" t="s">
        <v>113</v>
      </c>
      <c r="H174" t="s">
        <v>213</v>
      </c>
      <c r="I174" t="s">
        <v>26</v>
      </c>
      <c r="J174" s="3">
        <v>45846.694444444445</v>
      </c>
      <c r="K174">
        <f t="shared" si="19"/>
        <v>7</v>
      </c>
      <c r="L174">
        <v>2025</v>
      </c>
      <c r="M174">
        <v>2025</v>
      </c>
      <c r="N174">
        <v>2025</v>
      </c>
      <c r="O174">
        <v>2025</v>
      </c>
      <c r="P174" t="s">
        <v>27</v>
      </c>
      <c r="Q174" t="s">
        <v>28</v>
      </c>
      <c r="R174" s="2">
        <v>44269</v>
      </c>
      <c r="S174">
        <v>4</v>
      </c>
      <c r="T174" t="s">
        <v>29</v>
      </c>
      <c r="U174" t="s">
        <v>40</v>
      </c>
      <c r="V174" t="s">
        <v>31</v>
      </c>
      <c r="W174" t="s">
        <v>213</v>
      </c>
      <c r="X174" t="s">
        <v>32</v>
      </c>
      <c r="Y174" t="s">
        <v>33</v>
      </c>
      <c r="Z174" t="str">
        <f t="shared" si="20"/>
        <v>0-6</v>
      </c>
      <c r="AA174" t="s">
        <v>539</v>
      </c>
      <c r="AB174">
        <v>79</v>
      </c>
      <c r="AC174" t="str" cm="1">
        <f t="array" ref="AC174">_xlfn.SWITCH(AB174,
79,"Thành phố Hồ Chí Minh",
1,"Thành phố Hà Nội",
35,"Tỉnh Hà Nam",
31,"Thành phố Hải Phòng",
27,"Tỉnh Bắc Ninh",
77,"Tỉnh Bà Rịa - Vũng Tàu",
48,"Thành phố Đà Nẵng",
75,"Tỉnh Đồng Nai",
38,"Tỉnh Thanh Hoá",
82,"Tỉnh Tiền Giang",
74,"Tỉnh Bình Dương",
49,"Tỉnh Quảng Nam",
51,"Tỉnh Quảng Ngãi",
52,"Tỉnh Bình Định",
40,"Tỉnh Nghệ An",
"Không xác định"
)</f>
        <v>Thành phố Hồ Chí Minh</v>
      </c>
      <c r="AD174" t="str">
        <f t="shared" si="16"/>
        <v>67.05%</v>
      </c>
      <c r="AE174" t="s">
        <v>620</v>
      </c>
      <c r="AF174" s="8">
        <f t="shared" si="17"/>
        <v>45846</v>
      </c>
      <c r="AG174" s="8">
        <f>_xlfn.XLOOKUP(AE174, Dev!$A:$A, Dev!$B:$B, "")</f>
        <v>45689</v>
      </c>
      <c r="AH174" s="11">
        <f t="shared" si="18"/>
        <v>157</v>
      </c>
    </row>
    <row r="175" spans="1:34" x14ac:dyDescent="0.3">
      <c r="A175" s="1">
        <v>173</v>
      </c>
      <c r="B175" t="s">
        <v>411</v>
      </c>
      <c r="C175">
        <v>813956</v>
      </c>
      <c r="D175">
        <v>477572</v>
      </c>
      <c r="E175" s="2">
        <v>45827</v>
      </c>
      <c r="F175" s="2">
        <v>45827</v>
      </c>
      <c r="G175" t="s">
        <v>190</v>
      </c>
      <c r="H175" t="s">
        <v>412</v>
      </c>
      <c r="I175" t="s">
        <v>26</v>
      </c>
      <c r="J175" s="3">
        <v>45845.491666666669</v>
      </c>
      <c r="K175">
        <f t="shared" si="19"/>
        <v>7</v>
      </c>
      <c r="L175">
        <v>2025</v>
      </c>
      <c r="M175">
        <v>2025</v>
      </c>
      <c r="N175">
        <v>2025</v>
      </c>
      <c r="O175">
        <v>2025</v>
      </c>
      <c r="P175" t="s">
        <v>27</v>
      </c>
      <c r="Q175" t="s">
        <v>28</v>
      </c>
      <c r="R175" s="2">
        <v>44954</v>
      </c>
      <c r="S175">
        <v>2</v>
      </c>
      <c r="T175" t="s">
        <v>29</v>
      </c>
      <c r="U175" t="s">
        <v>40</v>
      </c>
      <c r="V175" t="s">
        <v>31</v>
      </c>
      <c r="W175" t="s">
        <v>522</v>
      </c>
      <c r="X175" t="s">
        <v>32</v>
      </c>
      <c r="Y175" t="s">
        <v>33</v>
      </c>
      <c r="Z175" t="str">
        <f t="shared" si="20"/>
        <v>0-6</v>
      </c>
      <c r="AA175" t="s">
        <v>610</v>
      </c>
      <c r="AB175">
        <v>74</v>
      </c>
      <c r="AC175" t="str" cm="1">
        <f t="array" ref="AC175">_xlfn.SWITCH(AB175,
79,"Thành phố Hồ Chí Minh",
1,"Thành phố Hà Nội",
35,"Tỉnh Hà Nam",
31,"Thành phố Hải Phòng",
27,"Tỉnh Bắc Ninh",
77,"Tỉnh Bà Rịa - Vũng Tàu",
48,"Thành phố Đà Nẵng",
75,"Tỉnh Đồng Nai",
38,"Tỉnh Thanh Hoá",
82,"Tỉnh Tiền Giang",
74,"Tỉnh Bình Dương",
49,"Tỉnh Quảng Nam",
51,"Tỉnh Quảng Ngãi",
52,"Tỉnh Bình Định",
40,"Tỉnh Nghệ An",
"Không xác định"
)</f>
        <v>Tỉnh Bình Dương</v>
      </c>
      <c r="AD175" t="str">
        <f t="shared" si="16"/>
        <v>58.67%</v>
      </c>
      <c r="AE175" t="s">
        <v>691</v>
      </c>
      <c r="AF175" s="8">
        <f t="shared" si="17"/>
        <v>45845</v>
      </c>
      <c r="AG175" s="8">
        <f>_xlfn.XLOOKUP(AE175, Dev!$A:$A, Dev!$B:$B, "")</f>
        <v>45484</v>
      </c>
      <c r="AH175" s="11">
        <f t="shared" si="18"/>
        <v>361</v>
      </c>
    </row>
    <row r="176" spans="1:34" x14ac:dyDescent="0.3">
      <c r="A176" s="1">
        <v>174</v>
      </c>
      <c r="B176" t="s">
        <v>413</v>
      </c>
      <c r="C176">
        <v>645440</v>
      </c>
      <c r="D176">
        <v>559040</v>
      </c>
      <c r="E176" s="2">
        <v>45843</v>
      </c>
      <c r="F176" s="2">
        <v>45843</v>
      </c>
      <c r="G176" t="s">
        <v>41</v>
      </c>
      <c r="H176" t="s">
        <v>414</v>
      </c>
      <c r="I176" t="s">
        <v>26</v>
      </c>
      <c r="J176" s="3">
        <v>45845.371527777781</v>
      </c>
      <c r="K176">
        <f t="shared" si="19"/>
        <v>7</v>
      </c>
      <c r="L176">
        <v>2025</v>
      </c>
      <c r="M176">
        <v>2025</v>
      </c>
      <c r="N176">
        <v>2025</v>
      </c>
      <c r="O176">
        <v>2025</v>
      </c>
      <c r="P176" t="s">
        <v>27</v>
      </c>
      <c r="Q176" t="s">
        <v>28</v>
      </c>
      <c r="R176" s="2">
        <v>44455</v>
      </c>
      <c r="S176">
        <v>4</v>
      </c>
      <c r="T176" t="s">
        <v>29</v>
      </c>
      <c r="U176" t="s">
        <v>30</v>
      </c>
      <c r="V176" t="s">
        <v>31</v>
      </c>
      <c r="W176" t="s">
        <v>523</v>
      </c>
      <c r="X176" t="s">
        <v>32</v>
      </c>
      <c r="Y176" t="s">
        <v>33</v>
      </c>
      <c r="Z176" t="str">
        <f t="shared" si="20"/>
        <v>0-6</v>
      </c>
      <c r="AA176" t="s">
        <v>605</v>
      </c>
      <c r="AB176">
        <v>40</v>
      </c>
      <c r="AC176" t="str" cm="1">
        <f t="array" ref="AC176">_xlfn.SWITCH(AB176,
79,"Thành phố Hồ Chí Minh",
1,"Thành phố Hà Nội",
35,"Tỉnh Hà Nam",
31,"Thành phố Hải Phòng",
27,"Tỉnh Bắc Ninh",
77,"Tỉnh Bà Rịa - Vũng Tàu",
48,"Thành phố Đà Nẵng",
75,"Tỉnh Đồng Nai",
38,"Tỉnh Thanh Hoá",
82,"Tỉnh Tiền Giang",
74,"Tỉnh Bình Dương",
49,"Tỉnh Quảng Nam",
51,"Tỉnh Quảng Ngãi",
52,"Tỉnh Bình Định",
40,"Tỉnh Nghệ An",
"Không xác định"
)</f>
        <v>Tỉnh Nghệ An</v>
      </c>
      <c r="AD176" t="str">
        <f t="shared" si="16"/>
        <v>86.61%</v>
      </c>
      <c r="AE176" t="s">
        <v>686</v>
      </c>
      <c r="AF176" s="8">
        <f t="shared" si="17"/>
        <v>45845</v>
      </c>
      <c r="AG176" s="8">
        <f>_xlfn.XLOOKUP(AE176, Dev!$A:$A, Dev!$B:$B, "")</f>
        <v>45561</v>
      </c>
      <c r="AH176" s="11">
        <f t="shared" si="18"/>
        <v>284</v>
      </c>
    </row>
    <row r="177" spans="1:34" x14ac:dyDescent="0.3">
      <c r="A177" s="1">
        <v>175</v>
      </c>
      <c r="B177" t="s">
        <v>415</v>
      </c>
      <c r="C177">
        <v>10763860</v>
      </c>
      <c r="D177">
        <v>8120000</v>
      </c>
      <c r="E177" s="2">
        <v>45828</v>
      </c>
      <c r="F177" s="2">
        <v>45832</v>
      </c>
      <c r="G177" t="s">
        <v>258</v>
      </c>
      <c r="H177" t="s">
        <v>416</v>
      </c>
      <c r="I177" t="s">
        <v>26</v>
      </c>
      <c r="J177" s="3">
        <v>45844.93472222222</v>
      </c>
      <c r="K177">
        <f t="shared" si="19"/>
        <v>7</v>
      </c>
      <c r="L177">
        <v>2025</v>
      </c>
      <c r="M177">
        <v>2025</v>
      </c>
      <c r="N177">
        <v>2025</v>
      </c>
      <c r="O177">
        <v>2025</v>
      </c>
      <c r="P177" t="s">
        <v>27</v>
      </c>
      <c r="Q177" t="s">
        <v>28</v>
      </c>
      <c r="R177" s="2">
        <v>45590</v>
      </c>
      <c r="S177">
        <v>0</v>
      </c>
      <c r="T177" t="s">
        <v>29</v>
      </c>
      <c r="U177" t="s">
        <v>40</v>
      </c>
      <c r="V177" t="s">
        <v>70</v>
      </c>
      <c r="W177" t="s">
        <v>524</v>
      </c>
      <c r="X177" t="s">
        <v>36</v>
      </c>
      <c r="Y177" t="s">
        <v>33</v>
      </c>
      <c r="Z177" t="str">
        <f t="shared" si="20"/>
        <v>0-6</v>
      </c>
      <c r="AA177" t="s">
        <v>586</v>
      </c>
      <c r="AB177">
        <v>1</v>
      </c>
      <c r="AC177" t="str" cm="1">
        <f t="array" ref="AC177">_xlfn.SWITCH(AB177,
79,"Thành phố Hồ Chí Minh",
1,"Thành phố Hà Nội",
35,"Tỉnh Hà Nam",
31,"Thành phố Hải Phòng",
27,"Tỉnh Bắc Ninh",
77,"Tỉnh Bà Rịa - Vũng Tàu",
48,"Thành phố Đà Nẵng",
75,"Tỉnh Đồng Nai",
38,"Tỉnh Thanh Hoá",
82,"Tỉnh Tiền Giang",
74,"Tỉnh Bình Dương",
49,"Tỉnh Quảng Nam",
51,"Tỉnh Quảng Ngãi",
52,"Tỉnh Bình Định",
40,"Tỉnh Nghệ An",
"Không xác định"
)</f>
        <v>Thành phố Hà Nội</v>
      </c>
      <c r="AD177" t="str">
        <f t="shared" si="16"/>
        <v>75.44%</v>
      </c>
      <c r="AE177" t="s">
        <v>667</v>
      </c>
      <c r="AF177" s="8">
        <f t="shared" si="17"/>
        <v>45844</v>
      </c>
      <c r="AG177" s="8">
        <f>_xlfn.XLOOKUP(AE177, Dev!$A:$A, Dev!$B:$B, "")</f>
        <v>45727.475266203706</v>
      </c>
      <c r="AH177" s="11">
        <f t="shared" si="18"/>
        <v>116.52473379629373</v>
      </c>
    </row>
    <row r="178" spans="1:34" x14ac:dyDescent="0.3">
      <c r="A178" s="1">
        <v>176</v>
      </c>
      <c r="B178" t="s">
        <v>417</v>
      </c>
      <c r="C178">
        <v>9060635</v>
      </c>
      <c r="D178">
        <v>7330735</v>
      </c>
      <c r="E178" s="2">
        <v>45821</v>
      </c>
      <c r="F178" s="2">
        <v>45826</v>
      </c>
      <c r="G178" t="s">
        <v>258</v>
      </c>
      <c r="H178" t="s">
        <v>418</v>
      </c>
      <c r="I178" t="s">
        <v>26</v>
      </c>
      <c r="J178" s="3">
        <v>45844.921527777777</v>
      </c>
      <c r="K178">
        <f t="shared" si="19"/>
        <v>7</v>
      </c>
      <c r="L178">
        <v>2025</v>
      </c>
      <c r="M178">
        <v>2025</v>
      </c>
      <c r="N178">
        <v>2025</v>
      </c>
      <c r="O178">
        <v>2025</v>
      </c>
      <c r="P178" t="s">
        <v>27</v>
      </c>
      <c r="Q178" t="s">
        <v>28</v>
      </c>
      <c r="R178" s="2">
        <v>45590</v>
      </c>
      <c r="S178">
        <v>0</v>
      </c>
      <c r="T178" t="s">
        <v>29</v>
      </c>
      <c r="U178" t="s">
        <v>40</v>
      </c>
      <c r="V178" t="s">
        <v>70</v>
      </c>
      <c r="W178" t="s">
        <v>525</v>
      </c>
      <c r="X178" t="s">
        <v>32</v>
      </c>
      <c r="Y178" t="s">
        <v>33</v>
      </c>
      <c r="Z178" t="str">
        <f t="shared" si="20"/>
        <v>0-6</v>
      </c>
      <c r="AA178" t="s">
        <v>586</v>
      </c>
      <c r="AB178">
        <v>1</v>
      </c>
      <c r="AC178" t="str" cm="1">
        <f t="array" ref="AC178">_xlfn.SWITCH(AB178,
79,"Thành phố Hồ Chí Minh",
1,"Thành phố Hà Nội",
35,"Tỉnh Hà Nam",
31,"Thành phố Hải Phòng",
27,"Tỉnh Bắc Ninh",
77,"Tỉnh Bà Rịa - Vũng Tàu",
48,"Thành phố Đà Nẵng",
75,"Tỉnh Đồng Nai",
38,"Tỉnh Thanh Hoá",
82,"Tỉnh Tiền Giang",
74,"Tỉnh Bình Dương",
49,"Tỉnh Quảng Nam",
51,"Tỉnh Quảng Ngãi",
52,"Tỉnh Bình Định",
40,"Tỉnh Nghệ An",
"Không xác định"
)</f>
        <v>Thành phố Hà Nội</v>
      </c>
      <c r="AD178" t="str">
        <f t="shared" si="16"/>
        <v>80.91%</v>
      </c>
      <c r="AE178" t="s">
        <v>667</v>
      </c>
      <c r="AF178" s="8">
        <f t="shared" si="17"/>
        <v>45844</v>
      </c>
      <c r="AG178" s="8">
        <f>_xlfn.XLOOKUP(AE178, Dev!$A:$A, Dev!$B:$B, "")</f>
        <v>45727.475266203706</v>
      </c>
      <c r="AH178" s="11">
        <f t="shared" si="18"/>
        <v>116.52473379629373</v>
      </c>
    </row>
    <row r="179" spans="1:34" x14ac:dyDescent="0.3">
      <c r="A179" s="1">
        <v>177</v>
      </c>
      <c r="B179" t="s">
        <v>419</v>
      </c>
      <c r="C179">
        <v>4775821</v>
      </c>
      <c r="D179">
        <v>2571106</v>
      </c>
      <c r="E179" s="2">
        <v>45823</v>
      </c>
      <c r="F179" s="2">
        <v>45828</v>
      </c>
      <c r="G179" t="s">
        <v>275</v>
      </c>
      <c r="H179" t="s">
        <v>420</v>
      </c>
      <c r="I179" t="s">
        <v>26</v>
      </c>
      <c r="J179" s="3">
        <v>45844.427777777775</v>
      </c>
      <c r="K179">
        <f t="shared" si="19"/>
        <v>7</v>
      </c>
      <c r="L179">
        <v>2025</v>
      </c>
      <c r="M179">
        <v>2025</v>
      </c>
      <c r="N179">
        <v>2025</v>
      </c>
      <c r="O179">
        <v>2025</v>
      </c>
      <c r="P179" t="s">
        <v>27</v>
      </c>
      <c r="Q179" t="s">
        <v>28</v>
      </c>
      <c r="R179" s="2">
        <v>45625</v>
      </c>
      <c r="S179">
        <v>0</v>
      </c>
      <c r="T179" t="s">
        <v>29</v>
      </c>
      <c r="U179" t="s">
        <v>30</v>
      </c>
      <c r="V179" t="s">
        <v>70</v>
      </c>
      <c r="W179" t="s">
        <v>420</v>
      </c>
      <c r="X179" t="s">
        <v>36</v>
      </c>
      <c r="Y179" t="s">
        <v>33</v>
      </c>
      <c r="Z179" t="str">
        <f t="shared" si="20"/>
        <v>0-6</v>
      </c>
      <c r="AA179" t="s">
        <v>611</v>
      </c>
      <c r="AB179">
        <v>40</v>
      </c>
      <c r="AC179" t="str" cm="1">
        <f t="array" ref="AC179">_xlfn.SWITCH(AB179,
79,"Thành phố Hồ Chí Minh",
1,"Thành phố Hà Nội",
35,"Tỉnh Hà Nam",
31,"Thành phố Hải Phòng",
27,"Tỉnh Bắc Ninh",
77,"Tỉnh Bà Rịa - Vũng Tàu",
48,"Thành phố Đà Nẵng",
75,"Tỉnh Đồng Nai",
38,"Tỉnh Thanh Hoá",
82,"Tỉnh Tiền Giang",
74,"Tỉnh Bình Dương",
49,"Tỉnh Quảng Nam",
51,"Tỉnh Quảng Ngãi",
52,"Tỉnh Bình Định",
40,"Tỉnh Nghệ An",
"Không xác định"
)</f>
        <v>Tỉnh Nghệ An</v>
      </c>
      <c r="AD179" t="str">
        <f t="shared" si="16"/>
        <v>53.84%</v>
      </c>
      <c r="AE179" t="s">
        <v>692</v>
      </c>
      <c r="AF179" s="8">
        <f t="shared" si="17"/>
        <v>45844</v>
      </c>
      <c r="AG179" s="8">
        <f>_xlfn.XLOOKUP(AE179, Dev!$A:$A, Dev!$B:$B, "")</f>
        <v>45745.372627314813</v>
      </c>
      <c r="AH179" s="11">
        <f t="shared" si="18"/>
        <v>98.627372685186856</v>
      </c>
    </row>
    <row r="180" spans="1:34" x14ac:dyDescent="0.3">
      <c r="A180" s="1">
        <v>178</v>
      </c>
      <c r="B180" t="s">
        <v>421</v>
      </c>
      <c r="C180">
        <v>500848</v>
      </c>
      <c r="D180">
        <v>118955</v>
      </c>
      <c r="E180" s="2">
        <v>45832</v>
      </c>
      <c r="F180" s="2">
        <v>45832</v>
      </c>
      <c r="G180" t="s">
        <v>397</v>
      </c>
      <c r="H180" t="s">
        <v>422</v>
      </c>
      <c r="I180" t="s">
        <v>26</v>
      </c>
      <c r="J180" s="3">
        <v>45843.417361111111</v>
      </c>
      <c r="K180">
        <f t="shared" si="19"/>
        <v>7</v>
      </c>
      <c r="L180">
        <v>2025</v>
      </c>
      <c r="M180">
        <v>2025</v>
      </c>
      <c r="N180">
        <v>2025</v>
      </c>
      <c r="O180">
        <v>2025</v>
      </c>
      <c r="P180" t="s">
        <v>27</v>
      </c>
      <c r="Q180" t="s">
        <v>28</v>
      </c>
      <c r="R180" s="2">
        <v>45094</v>
      </c>
      <c r="S180">
        <v>2</v>
      </c>
      <c r="T180" t="s">
        <v>29</v>
      </c>
      <c r="U180" t="s">
        <v>40</v>
      </c>
      <c r="V180" t="s">
        <v>31</v>
      </c>
      <c r="W180" t="s">
        <v>422</v>
      </c>
      <c r="X180" t="s">
        <v>41</v>
      </c>
      <c r="Y180" t="s">
        <v>33</v>
      </c>
      <c r="Z180" t="str">
        <f t="shared" si="20"/>
        <v>0-6</v>
      </c>
      <c r="AA180" t="s">
        <v>609</v>
      </c>
      <c r="AB180">
        <v>79</v>
      </c>
      <c r="AC180" t="str" cm="1">
        <f t="array" ref="AC180">_xlfn.SWITCH(AB180,
79,"Thành phố Hồ Chí Minh",
1,"Thành phố Hà Nội",
35,"Tỉnh Hà Nam",
31,"Thành phố Hải Phòng",
27,"Tỉnh Bắc Ninh",
77,"Tỉnh Bà Rịa - Vũng Tàu",
48,"Thành phố Đà Nẵng",
75,"Tỉnh Đồng Nai",
38,"Tỉnh Thanh Hoá",
82,"Tỉnh Tiền Giang",
74,"Tỉnh Bình Dương",
49,"Tỉnh Quảng Nam",
51,"Tỉnh Quảng Ngãi",
52,"Tỉnh Bình Định",
40,"Tỉnh Nghệ An",
"Không xác định"
)</f>
        <v>Thành phố Hồ Chí Minh</v>
      </c>
      <c r="AD180" t="str">
        <f t="shared" si="16"/>
        <v>23.75%</v>
      </c>
      <c r="AE180" t="s">
        <v>690</v>
      </c>
      <c r="AF180" s="8">
        <f t="shared" si="17"/>
        <v>45843</v>
      </c>
      <c r="AG180" s="8">
        <f>_xlfn.XLOOKUP(AE180, Dev!$A:$A, Dev!$B:$B, "")</f>
        <v>45641</v>
      </c>
      <c r="AH180" s="11">
        <f t="shared" si="18"/>
        <v>202</v>
      </c>
    </row>
    <row r="181" spans="1:34" x14ac:dyDescent="0.3">
      <c r="A181" s="1">
        <v>179</v>
      </c>
      <c r="B181" t="s">
        <v>423</v>
      </c>
      <c r="C181">
        <v>553676</v>
      </c>
      <c r="D181">
        <v>553676</v>
      </c>
      <c r="E181" s="2">
        <v>45840</v>
      </c>
      <c r="F181" s="2">
        <v>45840</v>
      </c>
      <c r="G181" t="s">
        <v>66</v>
      </c>
      <c r="H181" t="s">
        <v>424</v>
      </c>
      <c r="I181" t="s">
        <v>26</v>
      </c>
      <c r="J181" s="3">
        <v>45842.681250000001</v>
      </c>
      <c r="K181">
        <f t="shared" si="19"/>
        <v>7</v>
      </c>
      <c r="L181">
        <v>2025</v>
      </c>
      <c r="M181">
        <v>2025</v>
      </c>
      <c r="N181">
        <v>2025</v>
      </c>
      <c r="O181">
        <v>2025</v>
      </c>
      <c r="P181" t="s">
        <v>27</v>
      </c>
      <c r="Q181" t="s">
        <v>28</v>
      </c>
      <c r="R181" s="2">
        <v>45609</v>
      </c>
      <c r="S181">
        <v>0</v>
      </c>
      <c r="T181" t="s">
        <v>29</v>
      </c>
      <c r="U181" t="s">
        <v>40</v>
      </c>
      <c r="V181" t="s">
        <v>31</v>
      </c>
      <c r="W181" t="s">
        <v>526</v>
      </c>
      <c r="X181" t="s">
        <v>32</v>
      </c>
      <c r="Y181" t="s">
        <v>33</v>
      </c>
      <c r="Z181" t="str">
        <f t="shared" si="20"/>
        <v>0-6</v>
      </c>
      <c r="AA181" t="s">
        <v>565</v>
      </c>
      <c r="AB181">
        <v>75</v>
      </c>
      <c r="AC181" t="str" cm="1">
        <f t="array" ref="AC181">_xlfn.SWITCH(AB181,
79,"Thành phố Hồ Chí Minh",
1,"Thành phố Hà Nội",
35,"Tỉnh Hà Nam",
31,"Thành phố Hải Phòng",
27,"Tỉnh Bắc Ninh",
77,"Tỉnh Bà Rịa - Vũng Tàu",
48,"Thành phố Đà Nẵng",
75,"Tỉnh Đồng Nai",
38,"Tỉnh Thanh Hoá",
82,"Tỉnh Tiền Giang",
74,"Tỉnh Bình Dương",
49,"Tỉnh Quảng Nam",
51,"Tỉnh Quảng Ngãi",
52,"Tỉnh Bình Định",
40,"Tỉnh Nghệ An",
"Không xác định"
)</f>
        <v>Tỉnh Đồng Nai</v>
      </c>
      <c r="AD181" t="str">
        <f t="shared" si="16"/>
        <v>100%</v>
      </c>
      <c r="AE181" t="s">
        <v>646</v>
      </c>
      <c r="AF181" s="8">
        <f t="shared" si="17"/>
        <v>45842</v>
      </c>
      <c r="AG181" s="8">
        <f>_xlfn.XLOOKUP(AE181, Dev!$A:$A, Dev!$B:$B, "")</f>
        <v>45729.416770833333</v>
      </c>
      <c r="AH181" s="11">
        <f t="shared" si="18"/>
        <v>112.58322916666657</v>
      </c>
    </row>
    <row r="182" spans="1:34" x14ac:dyDescent="0.3">
      <c r="A182" s="1">
        <v>180</v>
      </c>
      <c r="B182" t="s">
        <v>425</v>
      </c>
      <c r="C182">
        <v>1862000</v>
      </c>
      <c r="D182">
        <v>1161631</v>
      </c>
      <c r="E182" s="2">
        <v>45837</v>
      </c>
      <c r="F182" s="2">
        <v>45837</v>
      </c>
      <c r="G182" t="s">
        <v>45</v>
      </c>
      <c r="H182" t="s">
        <v>219</v>
      </c>
      <c r="I182" t="s">
        <v>26</v>
      </c>
      <c r="J182" s="3">
        <v>45841.736805555556</v>
      </c>
      <c r="K182">
        <f t="shared" si="19"/>
        <v>7</v>
      </c>
      <c r="L182">
        <v>2025</v>
      </c>
      <c r="M182">
        <v>2025</v>
      </c>
      <c r="N182">
        <v>2025</v>
      </c>
      <c r="O182">
        <v>2025</v>
      </c>
      <c r="P182" t="s">
        <v>27</v>
      </c>
      <c r="Q182" t="s">
        <v>28</v>
      </c>
      <c r="R182" s="2">
        <v>45551</v>
      </c>
      <c r="S182">
        <v>1</v>
      </c>
      <c r="T182" t="s">
        <v>29</v>
      </c>
      <c r="U182" t="s">
        <v>40</v>
      </c>
      <c r="V182" t="s">
        <v>31</v>
      </c>
      <c r="W182" t="s">
        <v>82</v>
      </c>
      <c r="X182" t="s">
        <v>32</v>
      </c>
      <c r="Y182" t="s">
        <v>33</v>
      </c>
      <c r="Z182" t="str">
        <f t="shared" si="20"/>
        <v>0-6</v>
      </c>
      <c r="AA182" t="s">
        <v>588</v>
      </c>
      <c r="AB182">
        <v>1</v>
      </c>
      <c r="AC182" t="str" cm="1">
        <f t="array" ref="AC182">_xlfn.SWITCH(AB182,
79,"Thành phố Hồ Chí Minh",
1,"Thành phố Hà Nội",
35,"Tỉnh Hà Nam",
31,"Thành phố Hải Phòng",
27,"Tỉnh Bắc Ninh",
77,"Tỉnh Bà Rịa - Vũng Tàu",
48,"Thành phố Đà Nẵng",
75,"Tỉnh Đồng Nai",
38,"Tỉnh Thanh Hoá",
82,"Tỉnh Tiền Giang",
74,"Tỉnh Bình Dương",
49,"Tỉnh Quảng Nam",
51,"Tỉnh Quảng Ngãi",
52,"Tỉnh Bình Định",
40,"Tỉnh Nghệ An",
"Không xác định"
)</f>
        <v>Thành phố Hà Nội</v>
      </c>
      <c r="AD182" t="str">
        <f t="shared" si="16"/>
        <v>62.39%</v>
      </c>
      <c r="AE182" t="s">
        <v>669</v>
      </c>
      <c r="AF182" s="8">
        <f t="shared" si="17"/>
        <v>45841</v>
      </c>
      <c r="AG182" s="8">
        <f>_xlfn.XLOOKUP(AE182, Dev!$A:$A, Dev!$B:$B, "")</f>
        <v>45751.516053240739</v>
      </c>
      <c r="AH182" s="11">
        <f t="shared" si="18"/>
        <v>89.483946759261016</v>
      </c>
    </row>
    <row r="183" spans="1:34" x14ac:dyDescent="0.3">
      <c r="A183" s="1">
        <v>181</v>
      </c>
      <c r="B183" t="s">
        <v>426</v>
      </c>
      <c r="C183">
        <v>1134000</v>
      </c>
      <c r="D183">
        <v>1200000</v>
      </c>
      <c r="E183" s="2">
        <v>45833</v>
      </c>
      <c r="F183" s="2">
        <v>45833</v>
      </c>
      <c r="G183" t="s">
        <v>45</v>
      </c>
      <c r="H183" t="s">
        <v>427</v>
      </c>
      <c r="I183" t="s">
        <v>26</v>
      </c>
      <c r="J183" s="3">
        <v>45841.584722222222</v>
      </c>
      <c r="K183">
        <f t="shared" si="19"/>
        <v>7</v>
      </c>
      <c r="L183">
        <v>2025</v>
      </c>
      <c r="M183">
        <v>2025</v>
      </c>
      <c r="N183">
        <v>2025</v>
      </c>
      <c r="O183">
        <v>2025</v>
      </c>
      <c r="P183" t="s">
        <v>27</v>
      </c>
      <c r="Q183" t="s">
        <v>28</v>
      </c>
      <c r="R183" s="2">
        <v>45750</v>
      </c>
      <c r="S183">
        <v>0</v>
      </c>
      <c r="T183" t="s">
        <v>29</v>
      </c>
      <c r="U183" t="s">
        <v>30</v>
      </c>
      <c r="V183" t="s">
        <v>31</v>
      </c>
      <c r="W183" t="s">
        <v>527</v>
      </c>
      <c r="X183" t="s">
        <v>41</v>
      </c>
      <c r="Y183" t="s">
        <v>33</v>
      </c>
      <c r="Z183" t="str">
        <f t="shared" si="20"/>
        <v>0-6</v>
      </c>
      <c r="AA183" t="s">
        <v>570</v>
      </c>
      <c r="AB183">
        <v>38</v>
      </c>
      <c r="AC183" t="str" cm="1">
        <f t="array" ref="AC183">_xlfn.SWITCH(AB183,
79,"Thành phố Hồ Chí Minh",
1,"Thành phố Hà Nội",
35,"Tỉnh Hà Nam",
31,"Thành phố Hải Phòng",
27,"Tỉnh Bắc Ninh",
77,"Tỉnh Bà Rịa - Vũng Tàu",
48,"Thành phố Đà Nẵng",
75,"Tỉnh Đồng Nai",
38,"Tỉnh Thanh Hoá",
82,"Tỉnh Tiền Giang",
74,"Tỉnh Bình Dương",
49,"Tỉnh Quảng Nam",
51,"Tỉnh Quảng Ngãi",
52,"Tỉnh Bình Định",
40,"Tỉnh Nghệ An",
"Không xác định"
)</f>
        <v>Tỉnh Thanh Hoá</v>
      </c>
      <c r="AD183" t="str">
        <f t="shared" si="16"/>
        <v>105.82%</v>
      </c>
      <c r="AE183" t="s">
        <v>651</v>
      </c>
      <c r="AF183" s="8">
        <f t="shared" si="17"/>
        <v>45841</v>
      </c>
      <c r="AG183" s="8">
        <f>_xlfn.XLOOKUP(AE183, Dev!$A:$A, Dev!$B:$B, "")</f>
        <v>45781.452673611115</v>
      </c>
      <c r="AH183" s="11">
        <f t="shared" si="18"/>
        <v>59.547326388885267</v>
      </c>
    </row>
    <row r="184" spans="1:34" x14ac:dyDescent="0.3">
      <c r="A184" s="1">
        <v>182</v>
      </c>
      <c r="B184" t="s">
        <v>428</v>
      </c>
      <c r="C184">
        <v>1265000</v>
      </c>
      <c r="D184">
        <v>494852</v>
      </c>
      <c r="E184" s="2">
        <v>45840</v>
      </c>
      <c r="F184" s="2">
        <v>45840</v>
      </c>
      <c r="G184" t="s">
        <v>24</v>
      </c>
      <c r="H184" t="s">
        <v>429</v>
      </c>
      <c r="I184" t="s">
        <v>26</v>
      </c>
      <c r="J184" s="3">
        <v>45841.444444444445</v>
      </c>
      <c r="K184">
        <f t="shared" si="19"/>
        <v>7</v>
      </c>
      <c r="L184">
        <v>2025</v>
      </c>
      <c r="M184">
        <v>2025</v>
      </c>
      <c r="N184">
        <v>2025</v>
      </c>
      <c r="O184">
        <v>2025</v>
      </c>
      <c r="P184" t="s">
        <v>27</v>
      </c>
      <c r="Q184" t="s">
        <v>28</v>
      </c>
      <c r="R184" s="2">
        <v>45480</v>
      </c>
      <c r="S184">
        <v>1</v>
      </c>
      <c r="T184" t="s">
        <v>29</v>
      </c>
      <c r="U184" t="s">
        <v>40</v>
      </c>
      <c r="V184" t="s">
        <v>70</v>
      </c>
      <c r="W184" t="s">
        <v>528</v>
      </c>
      <c r="X184" t="s">
        <v>32</v>
      </c>
      <c r="Y184" t="s">
        <v>33</v>
      </c>
      <c r="Z184" t="str">
        <f t="shared" si="20"/>
        <v>0-6</v>
      </c>
      <c r="AA184" t="s">
        <v>583</v>
      </c>
      <c r="AB184">
        <v>79</v>
      </c>
      <c r="AC184" t="str" cm="1">
        <f t="array" ref="AC184">_xlfn.SWITCH(AB184,
79,"Thành phố Hồ Chí Minh",
1,"Thành phố Hà Nội",
35,"Tỉnh Hà Nam",
31,"Thành phố Hải Phòng",
27,"Tỉnh Bắc Ninh",
77,"Tỉnh Bà Rịa - Vũng Tàu",
48,"Thành phố Đà Nẵng",
75,"Tỉnh Đồng Nai",
38,"Tỉnh Thanh Hoá",
82,"Tỉnh Tiền Giang",
74,"Tỉnh Bình Dương",
49,"Tỉnh Quảng Nam",
51,"Tỉnh Quảng Ngãi",
52,"Tỉnh Bình Định",
40,"Tỉnh Nghệ An",
"Không xác định"
)</f>
        <v>Thành phố Hồ Chí Minh</v>
      </c>
      <c r="AD184" t="str">
        <f t="shared" si="16"/>
        <v>39.12%</v>
      </c>
      <c r="AE184" t="s">
        <v>664</v>
      </c>
      <c r="AF184" s="8">
        <f t="shared" si="17"/>
        <v>45841</v>
      </c>
      <c r="AG184" s="8">
        <f>_xlfn.XLOOKUP(AE184, Dev!$A:$A, Dev!$B:$B, "")</f>
        <v>45708</v>
      </c>
      <c r="AH184" s="11">
        <f t="shared" si="18"/>
        <v>133</v>
      </c>
    </row>
    <row r="185" spans="1:34" x14ac:dyDescent="0.3">
      <c r="A185" s="1">
        <v>183</v>
      </c>
      <c r="B185" t="s">
        <v>430</v>
      </c>
      <c r="C185">
        <v>867500</v>
      </c>
      <c r="D185">
        <v>594000</v>
      </c>
      <c r="E185" s="2">
        <v>45803</v>
      </c>
      <c r="F185" s="2">
        <v>45803</v>
      </c>
      <c r="G185" t="s">
        <v>431</v>
      </c>
      <c r="H185" t="s">
        <v>432</v>
      </c>
      <c r="I185" t="s">
        <v>26</v>
      </c>
      <c r="J185" s="3">
        <v>45841.413194444445</v>
      </c>
      <c r="K185">
        <f t="shared" si="19"/>
        <v>7</v>
      </c>
      <c r="L185">
        <v>2025</v>
      </c>
      <c r="M185">
        <v>2025</v>
      </c>
      <c r="N185">
        <v>2025</v>
      </c>
      <c r="O185">
        <v>2025</v>
      </c>
      <c r="P185" t="s">
        <v>27</v>
      </c>
      <c r="Q185" t="s">
        <v>28</v>
      </c>
      <c r="R185" s="2">
        <v>45068</v>
      </c>
      <c r="S185">
        <v>2</v>
      </c>
      <c r="T185" t="s">
        <v>29</v>
      </c>
      <c r="U185" t="s">
        <v>30</v>
      </c>
      <c r="V185" t="s">
        <v>31</v>
      </c>
      <c r="W185" t="s">
        <v>529</v>
      </c>
      <c r="X185" t="s">
        <v>41</v>
      </c>
      <c r="Y185" t="s">
        <v>33</v>
      </c>
      <c r="Z185" t="str">
        <f t="shared" si="20"/>
        <v>0-6</v>
      </c>
      <c r="AA185" t="s">
        <v>612</v>
      </c>
      <c r="AB185">
        <v>1</v>
      </c>
      <c r="AC185" t="str" cm="1">
        <f t="array" ref="AC185">_xlfn.SWITCH(AB185,
79,"Thành phố Hồ Chí Minh",
1,"Thành phố Hà Nội",
35,"Tỉnh Hà Nam",
31,"Thành phố Hải Phòng",
27,"Tỉnh Bắc Ninh",
77,"Tỉnh Bà Rịa - Vũng Tàu",
48,"Thành phố Đà Nẵng",
75,"Tỉnh Đồng Nai",
38,"Tỉnh Thanh Hoá",
82,"Tỉnh Tiền Giang",
74,"Tỉnh Bình Dương",
49,"Tỉnh Quảng Nam",
51,"Tỉnh Quảng Ngãi",
52,"Tỉnh Bình Định",
40,"Tỉnh Nghệ An",
"Không xác định"
)</f>
        <v>Thành phố Hà Nội</v>
      </c>
      <c r="AD185" t="str">
        <f t="shared" si="16"/>
        <v>68.47%</v>
      </c>
      <c r="AE185" t="s">
        <v>693</v>
      </c>
      <c r="AF185" s="8">
        <f t="shared" si="17"/>
        <v>45841</v>
      </c>
      <c r="AG185" s="8">
        <f>_xlfn.XLOOKUP(AE185, Dev!$A:$A, Dev!$B:$B, "")</f>
        <v>45507.538402777776</v>
      </c>
      <c r="AH185" s="11">
        <f t="shared" si="18"/>
        <v>333.46159722222365</v>
      </c>
    </row>
    <row r="186" spans="1:34" x14ac:dyDescent="0.3">
      <c r="A186" s="1">
        <v>184</v>
      </c>
      <c r="B186" t="s">
        <v>433</v>
      </c>
      <c r="C186">
        <v>1510000</v>
      </c>
      <c r="D186">
        <v>960000</v>
      </c>
      <c r="E186" s="2">
        <v>45798</v>
      </c>
      <c r="F186" s="2">
        <v>45798</v>
      </c>
      <c r="G186" t="s">
        <v>431</v>
      </c>
      <c r="H186" t="s">
        <v>434</v>
      </c>
      <c r="I186" t="s">
        <v>26</v>
      </c>
      <c r="J186" s="3">
        <v>45841.40625</v>
      </c>
      <c r="K186">
        <f t="shared" si="19"/>
        <v>7</v>
      </c>
      <c r="L186">
        <v>2025</v>
      </c>
      <c r="M186">
        <v>2025</v>
      </c>
      <c r="N186">
        <v>2025</v>
      </c>
      <c r="O186">
        <v>2025</v>
      </c>
      <c r="P186" t="s">
        <v>27</v>
      </c>
      <c r="Q186" t="s">
        <v>28</v>
      </c>
      <c r="R186" s="2">
        <v>45068</v>
      </c>
      <c r="S186">
        <v>2</v>
      </c>
      <c r="T186" t="s">
        <v>29</v>
      </c>
      <c r="U186" t="s">
        <v>30</v>
      </c>
      <c r="V186" t="s">
        <v>31</v>
      </c>
      <c r="W186" t="s">
        <v>530</v>
      </c>
      <c r="X186" t="s">
        <v>32</v>
      </c>
      <c r="Y186" t="s">
        <v>33</v>
      </c>
      <c r="Z186" t="str">
        <f t="shared" si="20"/>
        <v>0-6</v>
      </c>
      <c r="AA186" t="s">
        <v>612</v>
      </c>
      <c r="AB186">
        <v>1</v>
      </c>
      <c r="AC186" t="str" cm="1">
        <f t="array" ref="AC186">_xlfn.SWITCH(AB186,
79,"Thành phố Hồ Chí Minh",
1,"Thành phố Hà Nội",
35,"Tỉnh Hà Nam",
31,"Thành phố Hải Phòng",
27,"Tỉnh Bắc Ninh",
77,"Tỉnh Bà Rịa - Vũng Tàu",
48,"Thành phố Đà Nẵng",
75,"Tỉnh Đồng Nai",
38,"Tỉnh Thanh Hoá",
82,"Tỉnh Tiền Giang",
74,"Tỉnh Bình Dương",
49,"Tỉnh Quảng Nam",
51,"Tỉnh Quảng Ngãi",
52,"Tỉnh Bình Định",
40,"Tỉnh Nghệ An",
"Không xác định"
)</f>
        <v>Thành phố Hà Nội</v>
      </c>
      <c r="AD186" t="str">
        <f t="shared" si="16"/>
        <v>63.58%</v>
      </c>
      <c r="AE186" t="s">
        <v>693</v>
      </c>
      <c r="AF186" s="8">
        <f t="shared" si="17"/>
        <v>45841</v>
      </c>
      <c r="AG186" s="8">
        <f>_xlfn.XLOOKUP(AE186, Dev!$A:$A, Dev!$B:$B, "")</f>
        <v>45507.538402777776</v>
      </c>
      <c r="AH186" s="11">
        <f t="shared" si="18"/>
        <v>333.46159722222365</v>
      </c>
    </row>
    <row r="187" spans="1:34" x14ac:dyDescent="0.3">
      <c r="A187" s="1">
        <v>185</v>
      </c>
      <c r="B187" t="s">
        <v>435</v>
      </c>
      <c r="C187">
        <v>364880</v>
      </c>
      <c r="D187">
        <v>359880</v>
      </c>
      <c r="E187" s="2">
        <v>45836</v>
      </c>
      <c r="F187" s="2">
        <v>45836</v>
      </c>
      <c r="G187" t="s">
        <v>66</v>
      </c>
      <c r="H187" t="s">
        <v>436</v>
      </c>
      <c r="I187" t="s">
        <v>26</v>
      </c>
      <c r="J187" s="3">
        <v>45841.402777777781</v>
      </c>
      <c r="K187">
        <f t="shared" si="19"/>
        <v>7</v>
      </c>
      <c r="L187">
        <v>2025</v>
      </c>
      <c r="M187">
        <v>2025</v>
      </c>
      <c r="N187">
        <v>2025</v>
      </c>
      <c r="O187">
        <v>2025</v>
      </c>
      <c r="P187" t="s">
        <v>27</v>
      </c>
      <c r="Q187" t="s">
        <v>28</v>
      </c>
      <c r="R187" s="2">
        <v>45609</v>
      </c>
      <c r="S187">
        <v>0</v>
      </c>
      <c r="T187" t="s">
        <v>29</v>
      </c>
      <c r="U187" t="s">
        <v>40</v>
      </c>
      <c r="V187" t="s">
        <v>31</v>
      </c>
      <c r="W187" t="s">
        <v>531</v>
      </c>
      <c r="X187" t="s">
        <v>179</v>
      </c>
      <c r="Y187" t="s">
        <v>33</v>
      </c>
      <c r="Z187" t="str">
        <f t="shared" si="20"/>
        <v>0-6</v>
      </c>
      <c r="AA187" t="s">
        <v>565</v>
      </c>
      <c r="AB187">
        <v>75</v>
      </c>
      <c r="AC187" t="str" cm="1">
        <f t="array" ref="AC187">_xlfn.SWITCH(AB187,
79,"Thành phố Hồ Chí Minh",
1,"Thành phố Hà Nội",
35,"Tỉnh Hà Nam",
31,"Thành phố Hải Phòng",
27,"Tỉnh Bắc Ninh",
77,"Tỉnh Bà Rịa - Vũng Tàu",
48,"Thành phố Đà Nẵng",
75,"Tỉnh Đồng Nai",
38,"Tỉnh Thanh Hoá",
82,"Tỉnh Tiền Giang",
74,"Tỉnh Bình Dương",
49,"Tỉnh Quảng Nam",
51,"Tỉnh Quảng Ngãi",
52,"Tỉnh Bình Định",
40,"Tỉnh Nghệ An",
"Không xác định"
)</f>
        <v>Tỉnh Đồng Nai</v>
      </c>
      <c r="AD187" t="str">
        <f t="shared" si="16"/>
        <v>98.63%</v>
      </c>
      <c r="AE187" t="s">
        <v>646</v>
      </c>
      <c r="AF187" s="8">
        <f t="shared" si="17"/>
        <v>45841</v>
      </c>
      <c r="AG187" s="8">
        <f>_xlfn.XLOOKUP(AE187, Dev!$A:$A, Dev!$B:$B, "")</f>
        <v>45729.416770833333</v>
      </c>
      <c r="AH187" s="11">
        <f t="shared" si="18"/>
        <v>111.58322916666657</v>
      </c>
    </row>
    <row r="188" spans="1:34" x14ac:dyDescent="0.3">
      <c r="A188" s="1">
        <v>186</v>
      </c>
      <c r="B188" t="s">
        <v>437</v>
      </c>
      <c r="C188">
        <v>627000</v>
      </c>
      <c r="D188">
        <v>627698</v>
      </c>
      <c r="E188" s="2">
        <v>45839</v>
      </c>
      <c r="F188" s="2">
        <v>45839</v>
      </c>
      <c r="G188" t="s">
        <v>45</v>
      </c>
      <c r="H188" t="s">
        <v>438</v>
      </c>
      <c r="I188" t="s">
        <v>26</v>
      </c>
      <c r="J188" s="3">
        <v>45841.398611111108</v>
      </c>
      <c r="K188">
        <f t="shared" si="19"/>
        <v>7</v>
      </c>
      <c r="L188">
        <v>2025</v>
      </c>
      <c r="M188">
        <v>2025</v>
      </c>
      <c r="N188">
        <v>2025</v>
      </c>
      <c r="O188">
        <v>2025</v>
      </c>
      <c r="P188" t="s">
        <v>27</v>
      </c>
      <c r="Q188" t="s">
        <v>28</v>
      </c>
      <c r="R188" s="2">
        <v>45750</v>
      </c>
      <c r="S188">
        <v>0</v>
      </c>
      <c r="T188" t="s">
        <v>29</v>
      </c>
      <c r="U188" t="s">
        <v>30</v>
      </c>
      <c r="V188" t="s">
        <v>31</v>
      </c>
      <c r="W188" t="s">
        <v>532</v>
      </c>
      <c r="X188" t="s">
        <v>77</v>
      </c>
      <c r="Y188" t="s">
        <v>33</v>
      </c>
      <c r="Z188" t="str">
        <f t="shared" si="20"/>
        <v>0-6</v>
      </c>
      <c r="AA188" t="s">
        <v>570</v>
      </c>
      <c r="AB188">
        <v>38</v>
      </c>
      <c r="AC188" t="str" cm="1">
        <f t="array" ref="AC188">_xlfn.SWITCH(AB188,
79,"Thành phố Hồ Chí Minh",
1,"Thành phố Hà Nội",
35,"Tỉnh Hà Nam",
31,"Thành phố Hải Phòng",
27,"Tỉnh Bắc Ninh",
77,"Tỉnh Bà Rịa - Vũng Tàu",
48,"Thành phố Đà Nẵng",
75,"Tỉnh Đồng Nai",
38,"Tỉnh Thanh Hoá",
82,"Tỉnh Tiền Giang",
74,"Tỉnh Bình Dương",
49,"Tỉnh Quảng Nam",
51,"Tỉnh Quảng Ngãi",
52,"Tỉnh Bình Định",
40,"Tỉnh Nghệ An",
"Không xác định"
)</f>
        <v>Tỉnh Thanh Hoá</v>
      </c>
      <c r="AD188" t="str">
        <f t="shared" si="16"/>
        <v>100.11%</v>
      </c>
      <c r="AE188" t="s">
        <v>651</v>
      </c>
      <c r="AF188" s="8">
        <f t="shared" si="17"/>
        <v>45841</v>
      </c>
      <c r="AG188" s="8">
        <f>_xlfn.XLOOKUP(AE188, Dev!$A:$A, Dev!$B:$B, "")</f>
        <v>45781.452673611115</v>
      </c>
      <c r="AH188" s="11">
        <f t="shared" si="18"/>
        <v>59.547326388885267</v>
      </c>
    </row>
    <row r="189" spans="1:34" x14ac:dyDescent="0.3">
      <c r="A189" s="1">
        <v>187</v>
      </c>
      <c r="B189" t="s">
        <v>439</v>
      </c>
      <c r="C189">
        <v>1541000</v>
      </c>
      <c r="D189">
        <v>996170</v>
      </c>
      <c r="E189" s="2">
        <v>45827</v>
      </c>
      <c r="F189" s="2">
        <v>45827</v>
      </c>
      <c r="G189" t="s">
        <v>45</v>
      </c>
      <c r="H189" t="s">
        <v>440</v>
      </c>
      <c r="I189" t="s">
        <v>26</v>
      </c>
      <c r="J189" s="3">
        <v>45841.394444444442</v>
      </c>
      <c r="K189">
        <f t="shared" si="19"/>
        <v>7</v>
      </c>
      <c r="L189">
        <v>2025</v>
      </c>
      <c r="M189">
        <v>2025</v>
      </c>
      <c r="N189">
        <v>2025</v>
      </c>
      <c r="O189">
        <v>2025</v>
      </c>
      <c r="P189" t="s">
        <v>27</v>
      </c>
      <c r="Q189" t="s">
        <v>28</v>
      </c>
      <c r="R189" s="2">
        <v>45750</v>
      </c>
      <c r="S189">
        <v>0</v>
      </c>
      <c r="T189" t="s">
        <v>29</v>
      </c>
      <c r="U189" t="s">
        <v>30</v>
      </c>
      <c r="V189" t="s">
        <v>31</v>
      </c>
      <c r="W189" t="s">
        <v>533</v>
      </c>
      <c r="X189" t="s">
        <v>41</v>
      </c>
      <c r="Y189" t="s">
        <v>33</v>
      </c>
      <c r="Z189" t="str">
        <f t="shared" si="20"/>
        <v>0-6</v>
      </c>
      <c r="AA189" t="s">
        <v>570</v>
      </c>
      <c r="AB189">
        <v>38</v>
      </c>
      <c r="AC189" t="str" cm="1">
        <f t="array" ref="AC189">_xlfn.SWITCH(AB189,
79,"Thành phố Hồ Chí Minh",
1,"Thành phố Hà Nội",
35,"Tỉnh Hà Nam",
31,"Thành phố Hải Phòng",
27,"Tỉnh Bắc Ninh",
77,"Tỉnh Bà Rịa - Vũng Tàu",
48,"Thành phố Đà Nẵng",
75,"Tỉnh Đồng Nai",
38,"Tỉnh Thanh Hoá",
82,"Tỉnh Tiền Giang",
74,"Tỉnh Bình Dương",
49,"Tỉnh Quảng Nam",
51,"Tỉnh Quảng Ngãi",
52,"Tỉnh Bình Định",
40,"Tỉnh Nghệ An",
"Không xác định"
)</f>
        <v>Tỉnh Thanh Hoá</v>
      </c>
      <c r="AD189" t="str">
        <f t="shared" si="16"/>
        <v>64.64%</v>
      </c>
      <c r="AE189" t="s">
        <v>651</v>
      </c>
      <c r="AF189" s="8">
        <f t="shared" si="17"/>
        <v>45841</v>
      </c>
      <c r="AG189" s="8">
        <f>_xlfn.XLOOKUP(AE189, Dev!$A:$A, Dev!$B:$B, "")</f>
        <v>45781.452673611115</v>
      </c>
      <c r="AH189" s="11">
        <f t="shared" si="18"/>
        <v>59.547326388885267</v>
      </c>
    </row>
  </sheetData>
  <autoFilter ref="A1:Z189" xr:uid="{00000000-0001-0000-0000-000000000000}"/>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F77A87-2A33-41D4-8828-7B2AA0A4D888}">
  <dimension ref="A1:B156"/>
  <sheetViews>
    <sheetView workbookViewId="0">
      <selection activeCell="A9" sqref="A9"/>
    </sheetView>
  </sheetViews>
  <sheetFormatPr defaultRowHeight="14.4" x14ac:dyDescent="0.3"/>
  <cols>
    <col min="1" max="1" width="33.6640625" bestFit="1" customWidth="1"/>
    <col min="2" max="2" width="15.44140625" style="8" bestFit="1" customWidth="1"/>
  </cols>
  <sheetData>
    <row r="1" spans="1:2" x14ac:dyDescent="0.3">
      <c r="A1" s="5" t="s">
        <v>694</v>
      </c>
      <c r="B1" s="9" t="s">
        <v>695</v>
      </c>
    </row>
    <row r="2" spans="1:2" x14ac:dyDescent="0.3">
      <c r="A2" t="s">
        <v>697</v>
      </c>
      <c r="B2" s="8">
        <v>45477</v>
      </c>
    </row>
    <row r="3" spans="1:2" x14ac:dyDescent="0.3">
      <c r="A3" t="s">
        <v>698</v>
      </c>
      <c r="B3" s="8">
        <v>45141.620833333334</v>
      </c>
    </row>
    <row r="4" spans="1:2" x14ac:dyDescent="0.3">
      <c r="A4" t="s">
        <v>666</v>
      </c>
      <c r="B4" s="8">
        <v>45762.554652777777</v>
      </c>
    </row>
    <row r="5" spans="1:2" x14ac:dyDescent="0.3">
      <c r="A5" t="s">
        <v>699</v>
      </c>
      <c r="B5" s="8">
        <v>45544</v>
      </c>
    </row>
    <row r="6" spans="1:2" x14ac:dyDescent="0.3">
      <c r="A6" t="s">
        <v>700</v>
      </c>
      <c r="B6" s="8">
        <v>45304.631944444445</v>
      </c>
    </row>
    <row r="7" spans="1:2" x14ac:dyDescent="0.3">
      <c r="A7" t="s">
        <v>701</v>
      </c>
      <c r="B7" s="8">
        <v>45017</v>
      </c>
    </row>
    <row r="8" spans="1:2" x14ac:dyDescent="0.3">
      <c r="A8" t="s">
        <v>630</v>
      </c>
      <c r="B8" s="8">
        <v>45706.477743055555</v>
      </c>
    </row>
    <row r="9" spans="1:2" x14ac:dyDescent="0.3">
      <c r="A9" t="s">
        <v>616</v>
      </c>
      <c r="B9" s="8">
        <v>45875.575844907406</v>
      </c>
    </row>
    <row r="10" spans="1:2" x14ac:dyDescent="0.3">
      <c r="A10" t="s">
        <v>677</v>
      </c>
      <c r="B10" s="8">
        <v>45754.712905092594</v>
      </c>
    </row>
    <row r="11" spans="1:2" x14ac:dyDescent="0.3">
      <c r="A11" t="s">
        <v>702</v>
      </c>
      <c r="B11" s="8">
        <v>45087</v>
      </c>
    </row>
    <row r="12" spans="1:2" x14ac:dyDescent="0.3">
      <c r="A12" t="s">
        <v>703</v>
      </c>
      <c r="B12" s="8">
        <v>45542.471666666665</v>
      </c>
    </row>
    <row r="13" spans="1:2" x14ac:dyDescent="0.3">
      <c r="A13" t="s">
        <v>667</v>
      </c>
      <c r="B13" s="8">
        <v>45727.475266203706</v>
      </c>
    </row>
    <row r="14" spans="1:2" x14ac:dyDescent="0.3">
      <c r="A14" t="s">
        <v>704</v>
      </c>
      <c r="B14" s="8">
        <v>45270.33734953704</v>
      </c>
    </row>
    <row r="15" spans="1:2" x14ac:dyDescent="0.3">
      <c r="A15" t="s">
        <v>705</v>
      </c>
      <c r="B15" s="8">
        <v>45736.429988425924</v>
      </c>
    </row>
    <row r="16" spans="1:2" x14ac:dyDescent="0.3">
      <c r="A16" t="s">
        <v>706</v>
      </c>
      <c r="B16" s="8">
        <v>45771.62090277778</v>
      </c>
    </row>
    <row r="17" spans="1:2" x14ac:dyDescent="0.3">
      <c r="A17" t="s">
        <v>626</v>
      </c>
      <c r="B17" s="8">
        <v>45748.820972222224</v>
      </c>
    </row>
    <row r="18" spans="1:2" x14ac:dyDescent="0.3">
      <c r="A18" t="s">
        <v>707</v>
      </c>
      <c r="B18" s="8">
        <v>45311.455092592594</v>
      </c>
    </row>
    <row r="19" spans="1:2" x14ac:dyDescent="0.3">
      <c r="A19" t="s">
        <v>708</v>
      </c>
      <c r="B19" s="8">
        <v>45763.440081018518</v>
      </c>
    </row>
    <row r="20" spans="1:2" x14ac:dyDescent="0.3">
      <c r="A20" t="s">
        <v>709</v>
      </c>
      <c r="B20" s="8">
        <v>45221.434687499997</v>
      </c>
    </row>
    <row r="21" spans="1:2" x14ac:dyDescent="0.3">
      <c r="A21" t="s">
        <v>710</v>
      </c>
      <c r="B21" s="8">
        <v>45645.592222222222</v>
      </c>
    </row>
    <row r="22" spans="1:2" x14ac:dyDescent="0.3">
      <c r="A22" t="s">
        <v>711</v>
      </c>
      <c r="B22" s="8">
        <v>45126.554062499999</v>
      </c>
    </row>
    <row r="23" spans="1:2" x14ac:dyDescent="0.3">
      <c r="A23" t="s">
        <v>712</v>
      </c>
      <c r="B23" s="8">
        <v>45711.892789351848</v>
      </c>
    </row>
    <row r="24" spans="1:2" x14ac:dyDescent="0.3">
      <c r="A24" t="s">
        <v>653</v>
      </c>
      <c r="B24" s="8">
        <v>45809.805509259262</v>
      </c>
    </row>
    <row r="25" spans="1:2" x14ac:dyDescent="0.3">
      <c r="A25" s="10" t="s">
        <v>674</v>
      </c>
      <c r="B25" s="8">
        <v>45505.385104166664</v>
      </c>
    </row>
    <row r="26" spans="1:2" x14ac:dyDescent="0.3">
      <c r="A26" t="s">
        <v>713</v>
      </c>
      <c r="B26" s="8">
        <v>45658</v>
      </c>
    </row>
    <row r="27" spans="1:2" x14ac:dyDescent="0.3">
      <c r="A27" t="s">
        <v>714</v>
      </c>
      <c r="B27" s="8">
        <v>45505.584837962961</v>
      </c>
    </row>
    <row r="28" spans="1:2" x14ac:dyDescent="0.3">
      <c r="A28" t="s">
        <v>621</v>
      </c>
      <c r="B28" s="8">
        <v>45797.886423611111</v>
      </c>
    </row>
    <row r="29" spans="1:2" x14ac:dyDescent="0.3">
      <c r="A29" s="10" t="s">
        <v>715</v>
      </c>
      <c r="B29" s="8">
        <v>45125.693483796298</v>
      </c>
    </row>
    <row r="30" spans="1:2" x14ac:dyDescent="0.3">
      <c r="A30" t="s">
        <v>716</v>
      </c>
      <c r="B30" s="8">
        <v>45281.661099537036</v>
      </c>
    </row>
    <row r="31" spans="1:2" x14ac:dyDescent="0.3">
      <c r="A31" t="s">
        <v>624</v>
      </c>
      <c r="B31" s="8">
        <v>45700.542974537035</v>
      </c>
    </row>
    <row r="32" spans="1:2" x14ac:dyDescent="0.3">
      <c r="A32" t="s">
        <v>717</v>
      </c>
      <c r="B32" s="8">
        <v>45429</v>
      </c>
    </row>
    <row r="33" spans="1:2" x14ac:dyDescent="0.3">
      <c r="A33" t="s">
        <v>659</v>
      </c>
      <c r="B33" s="8">
        <v>45600.475682870368</v>
      </c>
    </row>
    <row r="34" spans="1:2" x14ac:dyDescent="0.3">
      <c r="A34" t="s">
        <v>644</v>
      </c>
      <c r="B34" s="8">
        <v>45612</v>
      </c>
    </row>
    <row r="35" spans="1:2" x14ac:dyDescent="0.3">
      <c r="A35" s="10" t="s">
        <v>678</v>
      </c>
      <c r="B35" s="8">
        <v>45769.478807870371</v>
      </c>
    </row>
    <row r="36" spans="1:2" x14ac:dyDescent="0.3">
      <c r="A36" t="s">
        <v>639</v>
      </c>
      <c r="B36" s="8">
        <v>45740.808923611112</v>
      </c>
    </row>
    <row r="37" spans="1:2" x14ac:dyDescent="0.3">
      <c r="A37" t="s">
        <v>718</v>
      </c>
      <c r="B37" s="8">
        <v>45445</v>
      </c>
    </row>
    <row r="38" spans="1:2" x14ac:dyDescent="0.3">
      <c r="A38" t="s">
        <v>663</v>
      </c>
      <c r="B38" s="8">
        <v>45590.628159722219</v>
      </c>
    </row>
    <row r="39" spans="1:2" x14ac:dyDescent="0.3">
      <c r="A39" t="s">
        <v>687</v>
      </c>
      <c r="B39" s="8">
        <v>45743</v>
      </c>
    </row>
    <row r="40" spans="1:2" x14ac:dyDescent="0.3">
      <c r="A40" t="s">
        <v>719</v>
      </c>
      <c r="B40" s="8">
        <v>45489.400520833333</v>
      </c>
    </row>
    <row r="41" spans="1:2" x14ac:dyDescent="0.3">
      <c r="A41" t="s">
        <v>629</v>
      </c>
      <c r="B41" s="8">
        <v>45768.756631944445</v>
      </c>
    </row>
    <row r="42" spans="1:2" x14ac:dyDescent="0.3">
      <c r="A42" t="s">
        <v>632</v>
      </c>
      <c r="B42" s="8">
        <v>45745.370266203703</v>
      </c>
    </row>
    <row r="43" spans="1:2" x14ac:dyDescent="0.3">
      <c r="A43" t="s">
        <v>720</v>
      </c>
      <c r="B43" s="8">
        <v>45716.801863425928</v>
      </c>
    </row>
    <row r="44" spans="1:2" x14ac:dyDescent="0.3">
      <c r="A44" t="s">
        <v>721</v>
      </c>
      <c r="B44" s="8">
        <v>45743.670474537037</v>
      </c>
    </row>
    <row r="45" spans="1:2" x14ac:dyDescent="0.3">
      <c r="A45" t="s">
        <v>641</v>
      </c>
      <c r="B45" s="8">
        <v>45818.8905787037</v>
      </c>
    </row>
    <row r="46" spans="1:2" x14ac:dyDescent="0.3">
      <c r="A46" t="s">
        <v>654</v>
      </c>
      <c r="B46" s="8">
        <v>45710.506944444445</v>
      </c>
    </row>
    <row r="47" spans="1:2" x14ac:dyDescent="0.3">
      <c r="A47" t="s">
        <v>722</v>
      </c>
      <c r="B47" s="8">
        <v>45456.509108796294</v>
      </c>
    </row>
    <row r="48" spans="1:2" x14ac:dyDescent="0.3">
      <c r="A48" t="s">
        <v>692</v>
      </c>
      <c r="B48" s="8">
        <v>45745.372627314813</v>
      </c>
    </row>
    <row r="49" spans="1:2" x14ac:dyDescent="0.3">
      <c r="A49" t="s">
        <v>661</v>
      </c>
      <c r="B49" s="8">
        <v>45629.639224537037</v>
      </c>
    </row>
    <row r="50" spans="1:2" x14ac:dyDescent="0.3">
      <c r="A50" t="s">
        <v>657</v>
      </c>
      <c r="B50" s="8">
        <v>45582.836319444446</v>
      </c>
    </row>
    <row r="51" spans="1:2" x14ac:dyDescent="0.3">
      <c r="A51" t="s">
        <v>723</v>
      </c>
      <c r="B51" s="8">
        <v>45262</v>
      </c>
    </row>
    <row r="52" spans="1:2" x14ac:dyDescent="0.3">
      <c r="A52" t="s">
        <v>651</v>
      </c>
      <c r="B52" s="8">
        <v>45781.452673611115</v>
      </c>
    </row>
    <row r="53" spans="1:2" x14ac:dyDescent="0.3">
      <c r="A53" t="s">
        <v>724</v>
      </c>
      <c r="B53" s="8">
        <v>45487.538842592592</v>
      </c>
    </row>
    <row r="54" spans="1:2" x14ac:dyDescent="0.3">
      <c r="A54" t="s">
        <v>725</v>
      </c>
      <c r="B54" s="8">
        <v>45457.63962962963</v>
      </c>
    </row>
    <row r="55" spans="1:2" x14ac:dyDescent="0.3">
      <c r="A55" t="s">
        <v>622</v>
      </c>
      <c r="B55" s="8">
        <v>45618.507708333331</v>
      </c>
    </row>
    <row r="56" spans="1:2" x14ac:dyDescent="0.3">
      <c r="A56" t="s">
        <v>726</v>
      </c>
      <c r="B56" s="8">
        <v>45590.64334490741</v>
      </c>
    </row>
    <row r="57" spans="1:2" x14ac:dyDescent="0.3">
      <c r="A57" t="s">
        <v>727</v>
      </c>
      <c r="B57" s="8">
        <v>45453</v>
      </c>
    </row>
    <row r="58" spans="1:2" x14ac:dyDescent="0.3">
      <c r="A58" s="10" t="s">
        <v>728</v>
      </c>
      <c r="B58" s="8">
        <v>45713</v>
      </c>
    </row>
    <row r="59" spans="1:2" x14ac:dyDescent="0.3">
      <c r="A59" t="s">
        <v>729</v>
      </c>
      <c r="B59" s="8">
        <v>45079</v>
      </c>
    </row>
    <row r="60" spans="1:2" x14ac:dyDescent="0.3">
      <c r="A60" t="s">
        <v>691</v>
      </c>
      <c r="B60" s="8">
        <v>45484</v>
      </c>
    </row>
    <row r="61" spans="1:2" x14ac:dyDescent="0.3">
      <c r="A61" t="s">
        <v>730</v>
      </c>
      <c r="B61" s="8">
        <v>45760.659814814811</v>
      </c>
    </row>
    <row r="62" spans="1:2" x14ac:dyDescent="0.3">
      <c r="A62" t="s">
        <v>731</v>
      </c>
      <c r="B62" s="8">
        <v>45737.646666666667</v>
      </c>
    </row>
    <row r="63" spans="1:2" x14ac:dyDescent="0.3">
      <c r="A63" t="s">
        <v>732</v>
      </c>
      <c r="B63" s="8">
        <v>44999</v>
      </c>
    </row>
    <row r="64" spans="1:2" x14ac:dyDescent="0.3">
      <c r="A64" t="s">
        <v>618</v>
      </c>
      <c r="B64" s="8">
        <v>45818.674259259256</v>
      </c>
    </row>
    <row r="65" spans="1:2" x14ac:dyDescent="0.3">
      <c r="A65" t="s">
        <v>634</v>
      </c>
      <c r="B65" s="8">
        <v>45812.63957175926</v>
      </c>
    </row>
    <row r="66" spans="1:2" x14ac:dyDescent="0.3">
      <c r="A66" t="s">
        <v>733</v>
      </c>
      <c r="B66" s="8">
        <v>45195.699895833335</v>
      </c>
    </row>
    <row r="67" spans="1:2" x14ac:dyDescent="0.3">
      <c r="A67" t="s">
        <v>685</v>
      </c>
      <c r="B67" s="8">
        <v>45492</v>
      </c>
    </row>
    <row r="68" spans="1:2" x14ac:dyDescent="0.3">
      <c r="A68" t="s">
        <v>682</v>
      </c>
      <c r="B68" s="8">
        <v>45823.580069444448</v>
      </c>
    </row>
    <row r="69" spans="1:2" x14ac:dyDescent="0.3">
      <c r="A69" t="s">
        <v>734</v>
      </c>
      <c r="B69" s="8">
        <v>45076</v>
      </c>
    </row>
    <row r="70" spans="1:2" x14ac:dyDescent="0.3">
      <c r="A70" t="s">
        <v>735</v>
      </c>
      <c r="B70" s="8">
        <v>45639.744687500002</v>
      </c>
    </row>
    <row r="71" spans="1:2" x14ac:dyDescent="0.3">
      <c r="A71" t="s">
        <v>736</v>
      </c>
      <c r="B71" s="8">
        <v>45707.747662037036</v>
      </c>
    </row>
    <row r="72" spans="1:2" x14ac:dyDescent="0.3">
      <c r="A72" t="s">
        <v>737</v>
      </c>
      <c r="B72" s="8">
        <v>45398.578657407408</v>
      </c>
    </row>
    <row r="73" spans="1:2" x14ac:dyDescent="0.3">
      <c r="A73" t="s">
        <v>633</v>
      </c>
      <c r="B73" s="8">
        <v>45745.735625000001</v>
      </c>
    </row>
    <row r="74" spans="1:2" x14ac:dyDescent="0.3">
      <c r="A74" t="s">
        <v>640</v>
      </c>
      <c r="B74" s="8">
        <v>45559.429861111108</v>
      </c>
    </row>
    <row r="75" spans="1:2" x14ac:dyDescent="0.3">
      <c r="A75" t="s">
        <v>738</v>
      </c>
      <c r="B75" s="8">
        <v>45602.554340277777</v>
      </c>
    </row>
    <row r="76" spans="1:2" x14ac:dyDescent="0.3">
      <c r="A76" t="s">
        <v>680</v>
      </c>
      <c r="B76" s="8">
        <v>45745.495810185188</v>
      </c>
    </row>
    <row r="77" spans="1:2" x14ac:dyDescent="0.3">
      <c r="A77" t="s">
        <v>671</v>
      </c>
      <c r="B77" s="8">
        <v>45789.722129629627</v>
      </c>
    </row>
    <row r="78" spans="1:2" x14ac:dyDescent="0.3">
      <c r="A78" t="s">
        <v>635</v>
      </c>
      <c r="B78" s="8">
        <v>45749.551354166666</v>
      </c>
    </row>
    <row r="79" spans="1:2" x14ac:dyDescent="0.3">
      <c r="A79" t="s">
        <v>652</v>
      </c>
      <c r="B79" s="8">
        <v>45715.848414351851</v>
      </c>
    </row>
    <row r="80" spans="1:2" x14ac:dyDescent="0.3">
      <c r="A80" t="s">
        <v>683</v>
      </c>
      <c r="B80" s="8">
        <v>45589.49491898148</v>
      </c>
    </row>
    <row r="81" spans="1:2" x14ac:dyDescent="0.3">
      <c r="A81" s="10" t="s">
        <v>739</v>
      </c>
      <c r="B81" s="8">
        <v>45302.42596064815</v>
      </c>
    </row>
    <row r="82" spans="1:2" x14ac:dyDescent="0.3">
      <c r="A82" t="s">
        <v>636</v>
      </c>
      <c r="B82" s="8">
        <v>45718.405949074076</v>
      </c>
    </row>
    <row r="83" spans="1:2" x14ac:dyDescent="0.3">
      <c r="A83" t="s">
        <v>619</v>
      </c>
      <c r="B83" s="8">
        <v>45723.677615740744</v>
      </c>
    </row>
    <row r="84" spans="1:2" x14ac:dyDescent="0.3">
      <c r="A84" t="s">
        <v>740</v>
      </c>
      <c r="B84" s="8">
        <v>45378.931446759256</v>
      </c>
    </row>
    <row r="85" spans="1:2" x14ac:dyDescent="0.3">
      <c r="A85" t="s">
        <v>620</v>
      </c>
      <c r="B85" s="8">
        <v>45689</v>
      </c>
    </row>
    <row r="86" spans="1:2" x14ac:dyDescent="0.3">
      <c r="A86" s="10" t="s">
        <v>664</v>
      </c>
      <c r="B86" s="8">
        <v>45708</v>
      </c>
    </row>
    <row r="87" spans="1:2" x14ac:dyDescent="0.3">
      <c r="A87" t="s">
        <v>670</v>
      </c>
      <c r="B87" s="8">
        <v>45636.93854166667</v>
      </c>
    </row>
    <row r="88" spans="1:2" x14ac:dyDescent="0.3">
      <c r="A88" t="s">
        <v>681</v>
      </c>
      <c r="B88" s="8">
        <v>45822.591377314813</v>
      </c>
    </row>
    <row r="89" spans="1:2" x14ac:dyDescent="0.3">
      <c r="A89" t="s">
        <v>741</v>
      </c>
      <c r="B89" s="8">
        <v>45456</v>
      </c>
    </row>
    <row r="90" spans="1:2" x14ac:dyDescent="0.3">
      <c r="A90" t="s">
        <v>742</v>
      </c>
      <c r="B90" s="8">
        <v>45111.446886574071</v>
      </c>
    </row>
    <row r="91" spans="1:2" x14ac:dyDescent="0.3">
      <c r="A91" t="s">
        <v>743</v>
      </c>
      <c r="B91" s="8">
        <v>45118.617152777777</v>
      </c>
    </row>
    <row r="92" spans="1:2" x14ac:dyDescent="0.3">
      <c r="A92" t="s">
        <v>679</v>
      </c>
      <c r="B92" s="8">
        <v>45809.488657407404</v>
      </c>
    </row>
    <row r="93" spans="1:2" x14ac:dyDescent="0.3">
      <c r="A93" t="s">
        <v>688</v>
      </c>
      <c r="B93" s="8">
        <v>45713.689409722225</v>
      </c>
    </row>
    <row r="94" spans="1:2" x14ac:dyDescent="0.3">
      <c r="A94" t="s">
        <v>673</v>
      </c>
      <c r="B94" s="8">
        <v>45722.751307870371</v>
      </c>
    </row>
    <row r="95" spans="1:2" x14ac:dyDescent="0.3">
      <c r="A95" t="s">
        <v>744</v>
      </c>
      <c r="B95" s="8">
        <v>45528</v>
      </c>
    </row>
    <row r="96" spans="1:2" x14ac:dyDescent="0.3">
      <c r="A96" t="s">
        <v>745</v>
      </c>
      <c r="B96" s="8">
        <v>45482.599050925928</v>
      </c>
    </row>
    <row r="97" spans="1:2" x14ac:dyDescent="0.3">
      <c r="A97" t="s">
        <v>686</v>
      </c>
      <c r="B97" s="8">
        <v>45561</v>
      </c>
    </row>
    <row r="98" spans="1:2" x14ac:dyDescent="0.3">
      <c r="A98" t="s">
        <v>746</v>
      </c>
      <c r="B98" s="8">
        <v>45622.610879629632</v>
      </c>
    </row>
    <row r="99" spans="1:2" x14ac:dyDescent="0.3">
      <c r="A99" t="s">
        <v>643</v>
      </c>
      <c r="B99" s="8">
        <v>45612</v>
      </c>
    </row>
    <row r="100" spans="1:2" x14ac:dyDescent="0.3">
      <c r="A100" t="s">
        <v>747</v>
      </c>
      <c r="B100" s="8">
        <v>45614.357106481482</v>
      </c>
    </row>
    <row r="101" spans="1:2" x14ac:dyDescent="0.3">
      <c r="A101" t="s">
        <v>748</v>
      </c>
      <c r="B101" s="8">
        <v>45614.693611111114</v>
      </c>
    </row>
    <row r="102" spans="1:2" x14ac:dyDescent="0.3">
      <c r="A102" t="s">
        <v>656</v>
      </c>
      <c r="B102" s="8">
        <v>45710.518067129633</v>
      </c>
    </row>
    <row r="103" spans="1:2" x14ac:dyDescent="0.3">
      <c r="A103" t="s">
        <v>628</v>
      </c>
      <c r="B103" s="8">
        <v>45784.413310185184</v>
      </c>
    </row>
    <row r="104" spans="1:2" x14ac:dyDescent="0.3">
      <c r="A104" t="s">
        <v>749</v>
      </c>
      <c r="B104" s="8">
        <v>45246.567349537036</v>
      </c>
    </row>
    <row r="105" spans="1:2" x14ac:dyDescent="0.3">
      <c r="A105" t="s">
        <v>750</v>
      </c>
      <c r="B105" s="8">
        <v>45197</v>
      </c>
    </row>
    <row r="106" spans="1:2" x14ac:dyDescent="0.3">
      <c r="A106" t="s">
        <v>646</v>
      </c>
      <c r="B106" s="8">
        <v>45729.416770833333</v>
      </c>
    </row>
    <row r="107" spans="1:2" x14ac:dyDescent="0.3">
      <c r="A107" t="s">
        <v>751</v>
      </c>
      <c r="B107" s="8">
        <v>45617</v>
      </c>
    </row>
    <row r="108" spans="1:2" x14ac:dyDescent="0.3">
      <c r="A108" t="s">
        <v>752</v>
      </c>
      <c r="B108" s="8">
        <v>45190.412824074076</v>
      </c>
    </row>
    <row r="109" spans="1:2" x14ac:dyDescent="0.3">
      <c r="A109" t="s">
        <v>623</v>
      </c>
      <c r="B109" s="8">
        <v>45631</v>
      </c>
    </row>
    <row r="110" spans="1:2" x14ac:dyDescent="0.3">
      <c r="A110" t="s">
        <v>753</v>
      </c>
      <c r="B110" s="8">
        <v>45135.658738425926</v>
      </c>
    </row>
    <row r="111" spans="1:2" x14ac:dyDescent="0.3">
      <c r="A111" t="s">
        <v>693</v>
      </c>
      <c r="B111" s="8">
        <v>45507.538402777776</v>
      </c>
    </row>
    <row r="112" spans="1:2" x14ac:dyDescent="0.3">
      <c r="A112" t="s">
        <v>754</v>
      </c>
      <c r="B112" s="8">
        <v>45437.690972222219</v>
      </c>
    </row>
    <row r="113" spans="1:2" x14ac:dyDescent="0.3">
      <c r="A113" t="s">
        <v>755</v>
      </c>
      <c r="B113" s="8">
        <v>45735.367928240739</v>
      </c>
    </row>
    <row r="114" spans="1:2" x14ac:dyDescent="0.3">
      <c r="A114" t="s">
        <v>756</v>
      </c>
      <c r="B114" s="8">
        <v>45361</v>
      </c>
    </row>
    <row r="115" spans="1:2" x14ac:dyDescent="0.3">
      <c r="A115" t="s">
        <v>757</v>
      </c>
      <c r="B115" s="8">
        <v>45616.433078703703</v>
      </c>
    </row>
    <row r="116" spans="1:2" x14ac:dyDescent="0.3">
      <c r="A116" t="s">
        <v>668</v>
      </c>
      <c r="B116" s="8">
        <v>45769.741736111115</v>
      </c>
    </row>
    <row r="117" spans="1:2" x14ac:dyDescent="0.3">
      <c r="A117" t="s">
        <v>758</v>
      </c>
      <c r="B117" s="8">
        <v>45755.455231481479</v>
      </c>
    </row>
    <row r="118" spans="1:2" x14ac:dyDescent="0.3">
      <c r="A118" t="s">
        <v>665</v>
      </c>
      <c r="B118" s="8">
        <v>45684.657766203702</v>
      </c>
    </row>
    <row r="119" spans="1:2" x14ac:dyDescent="0.3">
      <c r="A119" t="s">
        <v>637</v>
      </c>
      <c r="B119" s="8">
        <v>45680.692175925928</v>
      </c>
    </row>
    <row r="120" spans="1:2" x14ac:dyDescent="0.3">
      <c r="A120" t="s">
        <v>759</v>
      </c>
      <c r="B120" s="8">
        <v>45232.576122685183</v>
      </c>
    </row>
    <row r="121" spans="1:2" x14ac:dyDescent="0.3">
      <c r="A121" t="s">
        <v>647</v>
      </c>
      <c r="B121" s="8">
        <v>45649</v>
      </c>
    </row>
    <row r="122" spans="1:2" x14ac:dyDescent="0.3">
      <c r="A122" t="s">
        <v>760</v>
      </c>
      <c r="B122" s="8">
        <v>45151.427499999998</v>
      </c>
    </row>
    <row r="123" spans="1:2" x14ac:dyDescent="0.3">
      <c r="A123" t="s">
        <v>660</v>
      </c>
      <c r="B123" s="8">
        <v>45710.396064814813</v>
      </c>
    </row>
    <row r="124" spans="1:2" x14ac:dyDescent="0.3">
      <c r="A124" t="s">
        <v>669</v>
      </c>
      <c r="B124" s="8">
        <v>45751.516053240739</v>
      </c>
    </row>
    <row r="125" spans="1:2" x14ac:dyDescent="0.3">
      <c r="A125" t="s">
        <v>761</v>
      </c>
      <c r="B125" s="8">
        <v>45675.912615740737</v>
      </c>
    </row>
    <row r="126" spans="1:2" x14ac:dyDescent="0.3">
      <c r="A126" t="s">
        <v>658</v>
      </c>
      <c r="B126" s="8">
        <v>45837.660173611112</v>
      </c>
    </row>
    <row r="127" spans="1:2" x14ac:dyDescent="0.3">
      <c r="A127" t="s">
        <v>762</v>
      </c>
      <c r="B127" s="8">
        <v>45141.625</v>
      </c>
    </row>
    <row r="128" spans="1:2" x14ac:dyDescent="0.3">
      <c r="A128" t="s">
        <v>675</v>
      </c>
      <c r="B128" s="8">
        <v>45657.587905092594</v>
      </c>
    </row>
    <row r="129" spans="1:2" x14ac:dyDescent="0.3">
      <c r="A129" t="s">
        <v>625</v>
      </c>
      <c r="B129" s="8">
        <v>45751.643692129626</v>
      </c>
    </row>
    <row r="130" spans="1:2" x14ac:dyDescent="0.3">
      <c r="A130" t="s">
        <v>631</v>
      </c>
      <c r="B130" s="8">
        <v>45717.561261574076</v>
      </c>
    </row>
    <row r="131" spans="1:2" x14ac:dyDescent="0.3">
      <c r="A131" t="s">
        <v>627</v>
      </c>
      <c r="B131" s="8">
        <v>45709.423483796294</v>
      </c>
    </row>
    <row r="132" spans="1:2" x14ac:dyDescent="0.3">
      <c r="A132" t="s">
        <v>763</v>
      </c>
      <c r="B132" s="8">
        <v>45323</v>
      </c>
    </row>
    <row r="133" spans="1:2" x14ac:dyDescent="0.3">
      <c r="A133" t="s">
        <v>662</v>
      </c>
      <c r="B133" s="8">
        <v>45684.666458333333</v>
      </c>
    </row>
    <row r="134" spans="1:2" x14ac:dyDescent="0.3">
      <c r="A134" t="s">
        <v>764</v>
      </c>
      <c r="B134" s="8">
        <v>45463.416585648149</v>
      </c>
    </row>
    <row r="135" spans="1:2" x14ac:dyDescent="0.3">
      <c r="A135" t="s">
        <v>684</v>
      </c>
      <c r="B135" s="8">
        <v>45505.385671296295</v>
      </c>
    </row>
    <row r="136" spans="1:2" x14ac:dyDescent="0.3">
      <c r="A136" t="s">
        <v>638</v>
      </c>
      <c r="B136" s="8">
        <v>45829.619409722225</v>
      </c>
    </row>
    <row r="137" spans="1:2" x14ac:dyDescent="0.3">
      <c r="A137" t="s">
        <v>672</v>
      </c>
      <c r="B137" s="8">
        <v>45777.437893518516</v>
      </c>
    </row>
    <row r="138" spans="1:2" x14ac:dyDescent="0.3">
      <c r="A138" t="s">
        <v>645</v>
      </c>
      <c r="B138" s="8">
        <v>45848.388784722221</v>
      </c>
    </row>
    <row r="139" spans="1:2" x14ac:dyDescent="0.3">
      <c r="A139" t="s">
        <v>650</v>
      </c>
      <c r="B139" s="8">
        <v>45713.408946759257</v>
      </c>
    </row>
    <row r="140" spans="1:2" x14ac:dyDescent="0.3">
      <c r="A140" t="s">
        <v>676</v>
      </c>
      <c r="B140" s="8">
        <v>45793.433275462965</v>
      </c>
    </row>
    <row r="141" spans="1:2" x14ac:dyDescent="0.3">
      <c r="A141" t="s">
        <v>765</v>
      </c>
      <c r="B141" s="8">
        <v>45321.64534722222</v>
      </c>
    </row>
    <row r="142" spans="1:2" x14ac:dyDescent="0.3">
      <c r="A142" t="s">
        <v>766</v>
      </c>
      <c r="B142" s="8">
        <v>45573.794490740744</v>
      </c>
    </row>
    <row r="143" spans="1:2" x14ac:dyDescent="0.3">
      <c r="A143" t="s">
        <v>767</v>
      </c>
      <c r="B143" s="8">
        <v>45246.581203703703</v>
      </c>
    </row>
    <row r="144" spans="1:2" x14ac:dyDescent="0.3">
      <c r="A144" t="s">
        <v>648</v>
      </c>
      <c r="B144" s="8">
        <v>45763.86923611111</v>
      </c>
    </row>
    <row r="145" spans="1:2" x14ac:dyDescent="0.3">
      <c r="A145" t="s">
        <v>768</v>
      </c>
      <c r="B145" s="8">
        <v>45647</v>
      </c>
    </row>
    <row r="146" spans="1:2" x14ac:dyDescent="0.3">
      <c r="A146" t="s">
        <v>655</v>
      </c>
      <c r="B146" s="8">
        <v>45707.436122685183</v>
      </c>
    </row>
    <row r="147" spans="1:2" x14ac:dyDescent="0.3">
      <c r="A147" t="s">
        <v>689</v>
      </c>
      <c r="B147" s="8">
        <v>45671.646087962959</v>
      </c>
    </row>
    <row r="148" spans="1:2" x14ac:dyDescent="0.3">
      <c r="A148" t="s">
        <v>769</v>
      </c>
      <c r="B148" s="8">
        <v>45244.511793981481</v>
      </c>
    </row>
    <row r="149" spans="1:2" x14ac:dyDescent="0.3">
      <c r="A149" t="s">
        <v>690</v>
      </c>
      <c r="B149" s="8">
        <v>45641</v>
      </c>
    </row>
    <row r="150" spans="1:2" x14ac:dyDescent="0.3">
      <c r="A150" t="s">
        <v>617</v>
      </c>
      <c r="B150" s="8">
        <v>45674</v>
      </c>
    </row>
    <row r="151" spans="1:2" x14ac:dyDescent="0.3">
      <c r="A151" t="s">
        <v>770</v>
      </c>
      <c r="B151" s="8">
        <v>45532.706041666665</v>
      </c>
    </row>
    <row r="152" spans="1:2" x14ac:dyDescent="0.3">
      <c r="A152" t="s">
        <v>771</v>
      </c>
      <c r="B152" s="8">
        <v>45763.444675925923</v>
      </c>
    </row>
    <row r="153" spans="1:2" x14ac:dyDescent="0.3">
      <c r="A153" t="s">
        <v>649</v>
      </c>
      <c r="B153" s="8">
        <v>45576.580300925925</v>
      </c>
    </row>
    <row r="154" spans="1:2" x14ac:dyDescent="0.3">
      <c r="A154" t="s">
        <v>642</v>
      </c>
      <c r="B154" s="8">
        <v>45609.791180555556</v>
      </c>
    </row>
    <row r="155" spans="1:2" x14ac:dyDescent="0.3">
      <c r="A155" t="s">
        <v>772</v>
      </c>
      <c r="B155" s="8">
        <v>45534.788229166668</v>
      </c>
    </row>
    <row r="156" spans="1:2" x14ac:dyDescent="0.3">
      <c r="A156" t="s">
        <v>773</v>
      </c>
      <c r="B156" s="8">
        <v>45374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Main</vt:lpstr>
      <vt:lpstr>Dev</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Long Phat Trinh</cp:lastModifiedBy>
  <dcterms:created xsi:type="dcterms:W3CDTF">2025-10-21T09:02:11Z</dcterms:created>
  <dcterms:modified xsi:type="dcterms:W3CDTF">2025-11-05T09:22:57Z</dcterms:modified>
</cp:coreProperties>
</file>