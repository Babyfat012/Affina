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Affina\cleaned\"/>
    </mc:Choice>
  </mc:AlternateContent>
  <xr:revisionPtr revIDLastSave="0" documentId="13_ncr:1_{E1F3D74F-58B2-42DD-B955-7FDF902FC1C6}" xr6:coauthVersionLast="47" xr6:coauthVersionMax="47" xr10:uidLastSave="{00000000-0000-0000-0000-000000000000}"/>
  <bookViews>
    <workbookView xWindow="-108" yWindow="-108" windowWidth="23256" windowHeight="12456" xr2:uid="{00000000-000D-0000-FFFF-FFFF00000000}"/>
  </bookViews>
  <sheets>
    <sheet name="Main" sheetId="1" r:id="rId1"/>
    <sheet name="Dev" sheetId="2" r:id="rId2"/>
  </sheets>
  <definedNames>
    <definedName name="_xlnm._FilterDatabase" localSheetId="0" hidden="1">Main!$A$1:$Z$189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3" i="1" l="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2"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D189" i="1"/>
  <c r="AD188" i="1"/>
  <c r="AD187" i="1"/>
  <c r="AD186" i="1"/>
  <c r="AD185" i="1"/>
  <c r="AD184" i="1"/>
  <c r="AD183" i="1"/>
  <c r="AD182" i="1"/>
  <c r="AD181" i="1"/>
  <c r="AD180" i="1"/>
  <c r="AD179" i="1"/>
  <c r="AD178" i="1"/>
  <c r="AD177" i="1"/>
  <c r="AD176" i="1"/>
  <c r="AD175" i="1"/>
  <c r="AD174" i="1"/>
  <c r="AD173" i="1"/>
  <c r="AD172" i="1"/>
  <c r="AD171" i="1"/>
  <c r="AD170" i="1"/>
  <c r="AD169" i="1"/>
  <c r="AD168" i="1"/>
  <c r="AD167" i="1"/>
  <c r="AD166" i="1"/>
  <c r="AD165" i="1"/>
  <c r="AD164" i="1"/>
  <c r="AD163" i="1"/>
  <c r="AD162" i="1"/>
  <c r="AD161" i="1"/>
  <c r="AD160" i="1"/>
  <c r="AD159" i="1"/>
  <c r="AD158" i="1"/>
  <c r="AD157" i="1"/>
  <c r="AD156" i="1"/>
  <c r="AD155" i="1"/>
  <c r="AD154" i="1"/>
  <c r="AD153" i="1"/>
  <c r="AD152" i="1"/>
  <c r="AD151" i="1"/>
  <c r="AD150" i="1"/>
  <c r="AD149" i="1"/>
  <c r="AD148" i="1"/>
  <c r="AD147" i="1"/>
  <c r="AD146" i="1"/>
  <c r="AD145" i="1"/>
  <c r="AD144" i="1"/>
  <c r="AD143" i="1"/>
  <c r="AD142" i="1"/>
  <c r="AD141" i="1"/>
  <c r="AD140" i="1"/>
  <c r="AD139" i="1"/>
  <c r="AD138" i="1"/>
  <c r="AD137" i="1"/>
  <c r="AD136" i="1"/>
  <c r="AD135" i="1"/>
  <c r="AD134" i="1"/>
  <c r="AD133" i="1"/>
  <c r="AD132" i="1"/>
  <c r="AD131" i="1"/>
  <c r="AD130" i="1"/>
  <c r="AD129" i="1"/>
  <c r="AD128" i="1"/>
  <c r="AD127" i="1"/>
  <c r="AD126" i="1"/>
  <c r="AD125" i="1"/>
  <c r="AD124" i="1"/>
  <c r="AD123" i="1"/>
  <c r="AD122" i="1"/>
  <c r="AD121" i="1"/>
  <c r="AD120" i="1"/>
  <c r="AD119" i="1"/>
  <c r="AD118" i="1"/>
  <c r="AD117" i="1"/>
  <c r="AD116" i="1"/>
  <c r="AD115" i="1"/>
  <c r="AD114" i="1"/>
  <c r="AD113" i="1"/>
  <c r="AD112" i="1"/>
  <c r="AD111" i="1"/>
  <c r="AD110" i="1"/>
  <c r="AD109" i="1"/>
  <c r="AD108" i="1"/>
  <c r="AD107" i="1"/>
  <c r="AD106" i="1"/>
  <c r="AD105" i="1"/>
  <c r="AD104" i="1"/>
  <c r="AD103" i="1"/>
  <c r="AD102" i="1"/>
  <c r="AD101" i="1"/>
  <c r="AD100" i="1"/>
  <c r="AD99" i="1"/>
  <c r="AD98" i="1"/>
  <c r="AD97" i="1"/>
  <c r="AD96" i="1"/>
  <c r="AD95" i="1"/>
  <c r="AD94" i="1"/>
  <c r="AD93" i="1"/>
  <c r="AD92" i="1"/>
  <c r="AD91" i="1"/>
  <c r="AD90" i="1"/>
  <c r="AD89" i="1"/>
  <c r="AD88" i="1"/>
  <c r="AD87" i="1"/>
  <c r="AD86" i="1"/>
  <c r="AD85" i="1"/>
  <c r="AD84" i="1"/>
  <c r="AD83" i="1"/>
  <c r="AD82" i="1"/>
  <c r="AD81" i="1"/>
  <c r="AD80" i="1"/>
  <c r="AD79" i="1"/>
  <c r="AD78" i="1"/>
  <c r="AD77" i="1"/>
  <c r="AD76" i="1"/>
  <c r="AD75" i="1"/>
  <c r="AD74" i="1"/>
  <c r="AD73" i="1"/>
  <c r="AD72" i="1"/>
  <c r="AD71" i="1"/>
  <c r="AD70" i="1"/>
  <c r="AD69" i="1"/>
  <c r="AD68" i="1"/>
  <c r="AD67" i="1"/>
  <c r="AD66" i="1"/>
  <c r="AD65" i="1"/>
  <c r="AD64" i="1"/>
  <c r="AD63" i="1"/>
  <c r="AD62" i="1"/>
  <c r="AD61" i="1"/>
  <c r="AD60" i="1"/>
  <c r="AD59" i="1"/>
  <c r="AD58" i="1"/>
  <c r="AD57" i="1"/>
  <c r="AD56" i="1"/>
  <c r="AD55" i="1"/>
  <c r="AD54" i="1"/>
  <c r="AD53" i="1"/>
  <c r="AD52" i="1"/>
  <c r="AD51" i="1"/>
  <c r="AD50" i="1"/>
  <c r="AD49" i="1"/>
  <c r="AD48" i="1"/>
  <c r="AD47" i="1"/>
  <c r="AD46" i="1"/>
  <c r="AD45" i="1"/>
  <c r="AD44" i="1"/>
  <c r="AD43" i="1"/>
  <c r="AD42" i="1"/>
  <c r="AD41" i="1"/>
  <c r="AD40" i="1"/>
  <c r="AD39" i="1"/>
  <c r="AD38" i="1"/>
  <c r="AD37" i="1"/>
  <c r="AD36" i="1"/>
  <c r="AD35" i="1"/>
  <c r="AD34" i="1"/>
  <c r="AD33" i="1"/>
  <c r="AD32" i="1"/>
  <c r="AD31" i="1"/>
  <c r="AD30" i="1"/>
  <c r="AD29" i="1"/>
  <c r="AD28" i="1"/>
  <c r="AD27" i="1"/>
  <c r="AD26" i="1"/>
  <c r="AD25" i="1"/>
  <c r="AD24" i="1"/>
  <c r="AD23" i="1"/>
  <c r="AD22" i="1"/>
  <c r="AD21" i="1"/>
  <c r="AD20" i="1"/>
  <c r="AD19" i="1"/>
  <c r="AD18" i="1"/>
  <c r="AD17" i="1"/>
  <c r="AD16" i="1"/>
  <c r="AD15" i="1"/>
  <c r="AD14" i="1"/>
  <c r="AD13" i="1"/>
  <c r="AD12" i="1"/>
  <c r="AD11" i="1"/>
  <c r="AD10" i="1"/>
  <c r="AD9" i="1"/>
  <c r="AD8" i="1"/>
  <c r="AD7" i="1"/>
  <c r="AD6" i="1"/>
  <c r="AD5" i="1"/>
  <c r="AD4" i="1"/>
  <c r="AD3" i="1"/>
  <c r="AD2" i="1"/>
  <c r="AC3" i="1" a="1"/>
  <c r="AC3" i="1"/>
  <c r="AC4" i="1" a="1"/>
  <c r="AC4" i="1" s="1"/>
  <c r="AC5" i="1" a="1"/>
  <c r="AC5" i="1" s="1"/>
  <c r="AC6" i="1" a="1"/>
  <c r="AC6" i="1"/>
  <c r="AC7" i="1" a="1"/>
  <c r="AC7" i="1" s="1"/>
  <c r="AC8" i="1" a="1"/>
  <c r="AC8" i="1"/>
  <c r="AC9" i="1" a="1"/>
  <c r="AC9" i="1"/>
  <c r="AC10" i="1" a="1"/>
  <c r="AC10" i="1" s="1"/>
  <c r="AC11" i="1" a="1"/>
  <c r="AC11" i="1" s="1"/>
  <c r="AC12" i="1" a="1"/>
  <c r="AC12" i="1"/>
  <c r="AC13" i="1" a="1"/>
  <c r="AC13" i="1" s="1"/>
  <c r="AC14" i="1" a="1"/>
  <c r="AC14" i="1"/>
  <c r="AC15" i="1" a="1"/>
  <c r="AC15" i="1"/>
  <c r="AC16" i="1" a="1"/>
  <c r="AC16" i="1" s="1"/>
  <c r="AC17" i="1" a="1"/>
  <c r="AC17" i="1" s="1"/>
  <c r="AC18" i="1" a="1"/>
  <c r="AC18" i="1"/>
  <c r="AC19" i="1" a="1"/>
  <c r="AC19" i="1" s="1"/>
  <c r="AC20" i="1" a="1"/>
  <c r="AC20" i="1"/>
  <c r="AC21" i="1" a="1"/>
  <c r="AC21" i="1" s="1"/>
  <c r="AC22" i="1" a="1"/>
  <c r="AC22" i="1" s="1"/>
  <c r="AC23" i="1" a="1"/>
  <c r="AC23" i="1" s="1"/>
  <c r="AC24" i="1" a="1"/>
  <c r="AC24" i="1"/>
  <c r="AC25" i="1" a="1"/>
  <c r="AC25" i="1" s="1"/>
  <c r="AC26" i="1" a="1"/>
  <c r="AC26" i="1"/>
  <c r="AC27" i="1" a="1"/>
  <c r="AC27" i="1" s="1"/>
  <c r="AC28" i="1" a="1"/>
  <c r="AC28" i="1" s="1"/>
  <c r="AC29" i="1" a="1"/>
  <c r="AC29" i="1" s="1"/>
  <c r="AC30" i="1" a="1"/>
  <c r="AC30" i="1"/>
  <c r="AC31" i="1" a="1"/>
  <c r="AC31" i="1" s="1"/>
  <c r="AC32" i="1" a="1"/>
  <c r="AC32" i="1"/>
  <c r="AC33" i="1" a="1"/>
  <c r="AC33" i="1" s="1"/>
  <c r="AC34" i="1" a="1"/>
  <c r="AC34" i="1" s="1"/>
  <c r="AC35" i="1" a="1"/>
  <c r="AC35" i="1" s="1"/>
  <c r="AC36" i="1" a="1"/>
  <c r="AC36" i="1"/>
  <c r="AC37" i="1" a="1"/>
  <c r="AC37" i="1" s="1"/>
  <c r="AC38" i="1" a="1"/>
  <c r="AC38" i="1"/>
  <c r="AC39" i="1" a="1"/>
  <c r="AC39" i="1" s="1"/>
  <c r="AC40" i="1" a="1"/>
  <c r="AC40" i="1" s="1"/>
  <c r="AC41" i="1" a="1"/>
  <c r="AC41" i="1" s="1"/>
  <c r="AC42" i="1" a="1"/>
  <c r="AC42" i="1"/>
  <c r="AC43" i="1" a="1"/>
  <c r="AC43" i="1" s="1"/>
  <c r="AC44" i="1" a="1"/>
  <c r="AC44" i="1"/>
  <c r="AC45" i="1" a="1"/>
  <c r="AC45" i="1" s="1"/>
  <c r="AC46" i="1" a="1"/>
  <c r="AC46" i="1" s="1"/>
  <c r="AC47" i="1" a="1"/>
  <c r="AC47" i="1" s="1"/>
  <c r="AC48" i="1" a="1"/>
  <c r="AC48" i="1"/>
  <c r="AC49" i="1" a="1"/>
  <c r="AC49" i="1" s="1"/>
  <c r="AC50" i="1" a="1"/>
  <c r="AC50" i="1"/>
  <c r="AC51" i="1" a="1"/>
  <c r="AC51" i="1" s="1"/>
  <c r="AC52" i="1" a="1"/>
  <c r="AC52" i="1" s="1"/>
  <c r="AC53" i="1" a="1"/>
  <c r="AC53" i="1" s="1"/>
  <c r="AC54" i="1" a="1"/>
  <c r="AC54" i="1"/>
  <c r="AC55" i="1" a="1"/>
  <c r="AC55" i="1" s="1"/>
  <c r="AC56" i="1" a="1"/>
  <c r="AC56" i="1"/>
  <c r="AC57" i="1" a="1"/>
  <c r="AC57" i="1" s="1"/>
  <c r="AC58" i="1" a="1"/>
  <c r="AC58" i="1" s="1"/>
  <c r="AC59" i="1" a="1"/>
  <c r="AC59" i="1" s="1"/>
  <c r="AC60" i="1" a="1"/>
  <c r="AC60" i="1"/>
  <c r="AC61" i="1" a="1"/>
  <c r="AC61" i="1" s="1"/>
  <c r="AC62" i="1" a="1"/>
  <c r="AC62" i="1"/>
  <c r="AC63" i="1" a="1"/>
  <c r="AC63" i="1" s="1"/>
  <c r="AC64" i="1" a="1"/>
  <c r="AC64" i="1" s="1"/>
  <c r="AC65" i="1" a="1"/>
  <c r="AC65" i="1" s="1"/>
  <c r="AC66" i="1" a="1"/>
  <c r="AC66" i="1"/>
  <c r="AC67" i="1" a="1"/>
  <c r="AC67" i="1" s="1"/>
  <c r="AC68" i="1" a="1"/>
  <c r="AC68" i="1"/>
  <c r="AC69" i="1" a="1"/>
  <c r="AC69" i="1" s="1"/>
  <c r="AC70" i="1" a="1"/>
  <c r="AC70" i="1" s="1"/>
  <c r="AC71" i="1" a="1"/>
  <c r="AC71" i="1" s="1"/>
  <c r="AC72" i="1" a="1"/>
  <c r="AC72" i="1"/>
  <c r="AC73" i="1" a="1"/>
  <c r="AC73" i="1" s="1"/>
  <c r="AC74" i="1" a="1"/>
  <c r="AC74" i="1"/>
  <c r="AC75" i="1" a="1"/>
  <c r="AC75" i="1" s="1"/>
  <c r="AC76" i="1" a="1"/>
  <c r="AC76" i="1" s="1"/>
  <c r="AC77" i="1" a="1"/>
  <c r="AC77" i="1" s="1"/>
  <c r="AC78" i="1" a="1"/>
  <c r="AC78" i="1"/>
  <c r="AC79" i="1" a="1"/>
  <c r="AC79" i="1" s="1"/>
  <c r="AC80" i="1" a="1"/>
  <c r="AC80" i="1"/>
  <c r="AC81" i="1" a="1"/>
  <c r="AC81" i="1" s="1"/>
  <c r="AC82" i="1" a="1"/>
  <c r="AC82" i="1" s="1"/>
  <c r="AC83" i="1" a="1"/>
  <c r="AC83" i="1" s="1"/>
  <c r="AC84" i="1" a="1"/>
  <c r="AC84" i="1"/>
  <c r="AC85" i="1" a="1"/>
  <c r="AC85" i="1" s="1"/>
  <c r="AC86" i="1" a="1"/>
  <c r="AC86" i="1"/>
  <c r="AC87" i="1" a="1"/>
  <c r="AC87" i="1" s="1"/>
  <c r="AC88" i="1" a="1"/>
  <c r="AC88" i="1" s="1"/>
  <c r="AC89" i="1" a="1"/>
  <c r="AC89" i="1" s="1"/>
  <c r="AC90" i="1" a="1"/>
  <c r="AC90" i="1"/>
  <c r="AC91" i="1" a="1"/>
  <c r="AC91" i="1" s="1"/>
  <c r="AC92" i="1" a="1"/>
  <c r="AC92" i="1"/>
  <c r="AC93" i="1" a="1"/>
  <c r="AC93" i="1" s="1"/>
  <c r="AC94" i="1" a="1"/>
  <c r="AC94" i="1" s="1"/>
  <c r="AC95" i="1" a="1"/>
  <c r="AC95" i="1" s="1"/>
  <c r="AC96" i="1" a="1"/>
  <c r="AC96" i="1"/>
  <c r="AC97" i="1" a="1"/>
  <c r="AC97" i="1" s="1"/>
  <c r="AC98" i="1" a="1"/>
  <c r="AC98" i="1"/>
  <c r="AC99" i="1" a="1"/>
  <c r="AC99" i="1" s="1"/>
  <c r="AC100" i="1" a="1"/>
  <c r="AC100" i="1" s="1"/>
  <c r="AC101" i="1" a="1"/>
  <c r="AC101" i="1" s="1"/>
  <c r="AC102" i="1" a="1"/>
  <c r="AC102" i="1"/>
  <c r="AC103" i="1" a="1"/>
  <c r="AC103" i="1" s="1"/>
  <c r="AC104" i="1" a="1"/>
  <c r="AC104" i="1"/>
  <c r="AC105" i="1" a="1"/>
  <c r="AC105" i="1" s="1"/>
  <c r="AC106" i="1" a="1"/>
  <c r="AC106" i="1" s="1"/>
  <c r="AC107" i="1" a="1"/>
  <c r="AC107" i="1" s="1"/>
  <c r="AC108" i="1" a="1"/>
  <c r="AC108" i="1"/>
  <c r="AC109" i="1" a="1"/>
  <c r="AC109" i="1" s="1"/>
  <c r="AC110" i="1" a="1"/>
  <c r="AC110" i="1"/>
  <c r="AC111" i="1" a="1"/>
  <c r="AC111" i="1" s="1"/>
  <c r="AC112" i="1" a="1"/>
  <c r="AC112" i="1" s="1"/>
  <c r="AC113" i="1" a="1"/>
  <c r="AC113" i="1" s="1"/>
  <c r="AC114" i="1" a="1"/>
  <c r="AC114" i="1"/>
  <c r="AC115" i="1" a="1"/>
  <c r="AC115" i="1" s="1"/>
  <c r="AC116" i="1" a="1"/>
  <c r="AC116" i="1"/>
  <c r="AC117" i="1" a="1"/>
  <c r="AC117" i="1" s="1"/>
  <c r="AC118" i="1" a="1"/>
  <c r="AC118" i="1" s="1"/>
  <c r="AC119" i="1" a="1"/>
  <c r="AC119" i="1" s="1"/>
  <c r="AC120" i="1" a="1"/>
  <c r="AC120" i="1"/>
  <c r="AC121" i="1" a="1"/>
  <c r="AC121" i="1" s="1"/>
  <c r="AC122" i="1" a="1"/>
  <c r="AC122" i="1"/>
  <c r="AC123" i="1" a="1"/>
  <c r="AC123" i="1" s="1"/>
  <c r="AC124" i="1" a="1"/>
  <c r="AC124" i="1" s="1"/>
  <c r="AC125" i="1" a="1"/>
  <c r="AC125" i="1" s="1"/>
  <c r="AC126" i="1" a="1"/>
  <c r="AC126" i="1"/>
  <c r="AC127" i="1" a="1"/>
  <c r="AC127" i="1" s="1"/>
  <c r="AC128" i="1" a="1"/>
  <c r="AC128" i="1"/>
  <c r="AC129" i="1" a="1"/>
  <c r="AC129" i="1" s="1"/>
  <c r="AC130" i="1" a="1"/>
  <c r="AC130" i="1" s="1"/>
  <c r="AC131" i="1" a="1"/>
  <c r="AC131" i="1" s="1"/>
  <c r="AC132" i="1" a="1"/>
  <c r="AC132" i="1"/>
  <c r="AC133" i="1" a="1"/>
  <c r="AC133" i="1" s="1"/>
  <c r="AC134" i="1" a="1"/>
  <c r="AC134" i="1"/>
  <c r="AC135" i="1" a="1"/>
  <c r="AC135" i="1" s="1"/>
  <c r="AC136" i="1" a="1"/>
  <c r="AC136" i="1" s="1"/>
  <c r="AC137" i="1" a="1"/>
  <c r="AC137" i="1" s="1"/>
  <c r="AC138" i="1" a="1"/>
  <c r="AC138" i="1"/>
  <c r="AC139" i="1" a="1"/>
  <c r="AC139" i="1" s="1"/>
  <c r="AC140" i="1" a="1"/>
  <c r="AC140" i="1"/>
  <c r="AC141" i="1" a="1"/>
  <c r="AC141" i="1" s="1"/>
  <c r="AC142" i="1" a="1"/>
  <c r="AC142" i="1" s="1"/>
  <c r="AC143" i="1" a="1"/>
  <c r="AC143" i="1" s="1"/>
  <c r="AC144" i="1" a="1"/>
  <c r="AC144" i="1"/>
  <c r="AC145" i="1" a="1"/>
  <c r="AC145" i="1" s="1"/>
  <c r="AC146" i="1" a="1"/>
  <c r="AC146" i="1"/>
  <c r="AC147" i="1" a="1"/>
  <c r="AC147" i="1" s="1"/>
  <c r="AC148" i="1" a="1"/>
  <c r="AC148" i="1" s="1"/>
  <c r="AC149" i="1" a="1"/>
  <c r="AC149" i="1" s="1"/>
  <c r="AC150" i="1" a="1"/>
  <c r="AC150" i="1" s="1"/>
  <c r="AC151" i="1" a="1"/>
  <c r="AC151" i="1" s="1"/>
  <c r="AC152" i="1" a="1"/>
  <c r="AC152" i="1"/>
  <c r="AC153" i="1" a="1"/>
  <c r="AC153" i="1" s="1"/>
  <c r="AC154" i="1" a="1"/>
  <c r="AC154" i="1" s="1"/>
  <c r="AC155" i="1" a="1"/>
  <c r="AC155" i="1" s="1"/>
  <c r="AC156" i="1" a="1"/>
  <c r="AC156" i="1" s="1"/>
  <c r="AC157" i="1" a="1"/>
  <c r="AC157" i="1" s="1"/>
  <c r="AC158" i="1" a="1"/>
  <c r="AC158" i="1"/>
  <c r="AC159" i="1" a="1"/>
  <c r="AC159" i="1" s="1"/>
  <c r="AC160" i="1" a="1"/>
  <c r="AC160" i="1" s="1"/>
  <c r="AC161" i="1" a="1"/>
  <c r="AC161" i="1" s="1"/>
  <c r="AC162" i="1" a="1"/>
  <c r="AC162" i="1" s="1"/>
  <c r="AC163" i="1" a="1"/>
  <c r="AC163" i="1" s="1"/>
  <c r="AC164" i="1" a="1"/>
  <c r="AC164" i="1"/>
  <c r="AC165" i="1" a="1"/>
  <c r="AC165" i="1" s="1"/>
  <c r="AC166" i="1" a="1"/>
  <c r="AC166" i="1" s="1"/>
  <c r="AC167" i="1" a="1"/>
  <c r="AC167" i="1" s="1"/>
  <c r="AC168" i="1" a="1"/>
  <c r="AC168" i="1" s="1"/>
  <c r="AC169" i="1" a="1"/>
  <c r="AC169" i="1" s="1"/>
  <c r="AC170" i="1" a="1"/>
  <c r="AC170" i="1"/>
  <c r="AC171" i="1" a="1"/>
  <c r="AC171" i="1" s="1"/>
  <c r="AC172" i="1" a="1"/>
  <c r="AC172" i="1" s="1"/>
  <c r="AC173" i="1" a="1"/>
  <c r="AC173" i="1" s="1"/>
  <c r="AC174" i="1" a="1"/>
  <c r="AC174" i="1" s="1"/>
  <c r="AC175" i="1" a="1"/>
  <c r="AC175" i="1" s="1"/>
  <c r="AC176" i="1" a="1"/>
  <c r="AC176" i="1"/>
  <c r="AC177" i="1" a="1"/>
  <c r="AC177" i="1" s="1"/>
  <c r="AC178" i="1" a="1"/>
  <c r="AC178" i="1" s="1"/>
  <c r="AC179" i="1" a="1"/>
  <c r="AC179" i="1" s="1"/>
  <c r="AC180" i="1" a="1"/>
  <c r="AC180" i="1" s="1"/>
  <c r="AC181" i="1" a="1"/>
  <c r="AC181" i="1" s="1"/>
  <c r="AC182" i="1" a="1"/>
  <c r="AC182" i="1"/>
  <c r="AC183" i="1" a="1"/>
  <c r="AC183" i="1" s="1"/>
  <c r="AC184" i="1" a="1"/>
  <c r="AC184" i="1" s="1"/>
  <c r="AC185" i="1" a="1"/>
  <c r="AC185" i="1" s="1"/>
  <c r="AC186" i="1" a="1"/>
  <c r="AC186" i="1" s="1"/>
  <c r="AC187" i="1" a="1"/>
  <c r="AC187" i="1" s="1"/>
  <c r="AC188" i="1" a="1"/>
  <c r="AC188" i="1"/>
  <c r="AC189" i="1" a="1"/>
  <c r="AC189" i="1" s="1"/>
  <c r="AC2" i="1" a="1"/>
  <c r="AC2" i="1" s="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<sst xmlns="http://schemas.openxmlformats.org/spreadsheetml/2006/main" count="2822" uniqueCount="777">
  <si>
    <t>id</t>
  </si>
  <si>
    <t>amountClaim</t>
  </si>
  <si>
    <t>compensationAmount</t>
  </si>
  <si>
    <t>hospitalizedDate</t>
  </si>
  <si>
    <t>hospitalDischargeDate</t>
  </si>
  <si>
    <t>placeOfTreatment</t>
  </si>
  <si>
    <t>diagnostic</t>
  </si>
  <si>
    <t>tpaId</t>
  </si>
  <si>
    <t>createdAt</t>
  </si>
  <si>
    <t>createdAtYear</t>
  </si>
  <si>
    <t>createdAtYearv1</t>
  </si>
  <si>
    <t>createdAtYearv2</t>
  </si>
  <si>
    <t>createdAtYearv3</t>
  </si>
  <si>
    <t>source</t>
  </si>
  <si>
    <t>connectType</t>
  </si>
  <si>
    <t>co_peopleDoB</t>
  </si>
  <si>
    <t>age</t>
  </si>
  <si>
    <t>co_relationshipName</t>
  </si>
  <si>
    <t>co_peopleGenderName</t>
  </si>
  <si>
    <t>claimTypeName</t>
  </si>
  <si>
    <t>cleaned_diagnostic</t>
  </si>
  <si>
    <t>common_diagnostic_category</t>
  </si>
  <si>
    <t>age_group</t>
  </si>
  <si>
    <t>age_group1</t>
  </si>
  <si>
    <t>1b35c7826a58be899d500199a302b1a4</t>
  </si>
  <si>
    <t>Bệnh viện Đa khoa Tâm Anh Hồ Chí Minh</t>
  </si>
  <si>
    <t>Viêm họng cấp, không đặc hiệu (J02.9), Rối loạn tiêu hoá (K30)</t>
  </si>
  <si>
    <t>SMART</t>
  </si>
  <si>
    <t>REIMBURSEMENT_CLAIM</t>
  </si>
  <si>
    <t>API</t>
  </si>
  <si>
    <t>CHILDREN</t>
  </si>
  <si>
    <t>FEMALE</t>
  </si>
  <si>
    <t>OUTPATIENT</t>
  </si>
  <si>
    <t>Hô hấp</t>
  </si>
  <si>
    <t>0-17</t>
  </si>
  <si>
    <t>4eac19f92721be899d5001999f9fc496</t>
  </si>
  <si>
    <t>nhiễm trùng đường ruột do vi khuẩn</t>
  </si>
  <si>
    <t>Tiêu hóa</t>
  </si>
  <si>
    <t>0a9513a74463be899d50019998809c9f</t>
  </si>
  <si>
    <t xml:space="preserve">Bệnh viện Nhi Trung ương </t>
  </si>
  <si>
    <t>Viêm phổi dần ổn định</t>
  </si>
  <si>
    <t>MALE</t>
  </si>
  <si>
    <t>Khác</t>
  </si>
  <si>
    <t>ea18e5fb4463be899d50019998775412</t>
  </si>
  <si>
    <t>Viêm phổi không đặc hiệu</t>
  </si>
  <si>
    <t>b123709656c5be899d500199869bf8fe</t>
  </si>
  <si>
    <t>Bệnh viện Nhi Trung ương - Trung tâm Quốc tế</t>
  </si>
  <si>
    <t>Rối loạn tiêu hoá-Viêm phế quản</t>
  </si>
  <si>
    <t>501525f956c5be899d5001998694fe91</t>
  </si>
  <si>
    <t>Viêm phế quản</t>
  </si>
  <si>
    <t>03a7146656c5be899d50019984c98f96</t>
  </si>
  <si>
    <t>Bệnh viện Nhi Đồng I</t>
  </si>
  <si>
    <t>Bệnh tay chân miệng độ 1 ngày 9 - Nhiễm trùng đường ruột do vi khuẩn</t>
  </si>
  <si>
    <t>0fa33b1256c5be899d5001998450f526</t>
  </si>
  <si>
    <t>Bệnh viện Đa khoa Phương Đông</t>
  </si>
  <si>
    <t>viên phế quản phổi, viêm tai giữa ứ dịch 2 bên, viêm mũi họng amidan cấp, nấm miệng, rối loạn tiêu hoá</t>
  </si>
  <si>
    <t>HOSPITALIZATION ALLOWANCE</t>
  </si>
  <si>
    <t>baeb74f356c5be899d50019983f84942</t>
  </si>
  <si>
    <t>PHÒNG KHÁM NHI KINDERHEALTH QUẬN 7</t>
  </si>
  <si>
    <t>viêm thanh quản cấp (J04.0) Viêm mũi họng cấp J00</t>
  </si>
  <si>
    <t>f13834a3342bbe899d5001997f707212</t>
  </si>
  <si>
    <t>Bệnh tay chân miệng độ 1 ngày 6 - Nhiễm trùng đường ruột do vi khuẩn</t>
  </si>
  <si>
    <t>8ce64a50342bbe899d5001997f6d375b</t>
  </si>
  <si>
    <t>Bệnh tay chân miệng độ 1 ngày 4</t>
  </si>
  <si>
    <t>a53759f9342bbe899d5001997f69511d</t>
  </si>
  <si>
    <t>Viêm mũi họng</t>
  </si>
  <si>
    <t>1655e2c53b75be899d5001996b2d0708</t>
  </si>
  <si>
    <t>Bệnh Viện Nhi Đồng II</t>
  </si>
  <si>
    <t>Viêm họng cấp , sốt</t>
  </si>
  <si>
    <t>33d6b0fe0963be899d500199718c0372</t>
  </si>
  <si>
    <t>Buồn nôn và nôn, rối loạn tiêu hóa</t>
  </si>
  <si>
    <t>INPATIENT</t>
  </si>
  <si>
    <t>0d2db3f90963be899d5001997174301d</t>
  </si>
  <si>
    <t>BỆNH VIỆN ĐA KHOA QUỐC TẾ VINMEC HẢI PHÒNG</t>
  </si>
  <si>
    <t>Viêm phế quản phổi</t>
  </si>
  <si>
    <t>ee1defe13b75be899d5001996b28748b</t>
  </si>
  <si>
    <t>Bệnh viện đa khoa Kinh Bắc II</t>
  </si>
  <si>
    <t>Viêm phế quản cấp, Tay chân miệng, Viêm amydan, Viêm V.A cấp</t>
  </si>
  <si>
    <t>Da liễu</t>
  </si>
  <si>
    <t>ae5ac20156c0be899d5001996279d16c</t>
  </si>
  <si>
    <t>Phòng khám Đa khoa Quốc tế Thu Cúc cơ sở Trần Duy Hưng</t>
  </si>
  <si>
    <t>viêm họng, viêm amidan, viêm phế quan, nhiễm khuẩn nặng</t>
  </si>
  <si>
    <t>16c8b8b256c0be899d50019962521b32</t>
  </si>
  <si>
    <t>Viêm mũi họng cấp</t>
  </si>
  <si>
    <t>6cd741a756c0be899d500199625067bc</t>
  </si>
  <si>
    <t>dị ứng nổi mảng đỏ</t>
  </si>
  <si>
    <t>36819e35620cbe899d5001995cf4bb7f</t>
  </si>
  <si>
    <t>viêm phổi</t>
  </si>
  <si>
    <t>71807efc620cbe899d5001995c69d23c</t>
  </si>
  <si>
    <t>237d3c222223be899d500199578fab83</t>
  </si>
  <si>
    <t>Cty Cổ phần Phòng Khám Đa Khoa Y Sài Gòn</t>
  </si>
  <si>
    <t>viêm họng cấp</t>
  </si>
  <si>
    <t>4e48e2fd2223be899d50019955db8f9d</t>
  </si>
  <si>
    <t>KHÁC</t>
  </si>
  <si>
    <t>viêm mũi họng/ trào ngược dạ dày thực quản</t>
  </si>
  <si>
    <t>0412eefd2223be899d50019955e0dd05</t>
  </si>
  <si>
    <t>Viêm tai ngoài</t>
  </si>
  <si>
    <t>5c5c00f82223be899d50019955b58a86</t>
  </si>
  <si>
    <t>Viêm mũi họng - Viêm amidan mủ</t>
  </si>
  <si>
    <t>b9b3a1c62223be899d5001995593cdef</t>
  </si>
  <si>
    <t>Nhiễm trùng đường hô hấp trên cấp</t>
  </si>
  <si>
    <t>147855fc682bbe899d5001994cb5f12f</t>
  </si>
  <si>
    <t xml:space="preserve">Ban đỏ CTNN, TD tay chân miệng độ I </t>
  </si>
  <si>
    <t>065b56841924be899d5001994775dc64</t>
  </si>
  <si>
    <t>Viêm phế quản cấp (Viêm mũi họng)</t>
  </si>
  <si>
    <t>03b844fa1924be899d500199462bba4b</t>
  </si>
  <si>
    <t>Bệnh viện Phụ sản - Nhi Đà Nẵng</t>
  </si>
  <si>
    <t>viêm ruột, viêm tai giữa</t>
  </si>
  <si>
    <t>04adb8fc604abe899d5001993cb21cfb</t>
  </si>
  <si>
    <t>37b7fca3604abe899d5001993cad7cf3</t>
  </si>
  <si>
    <t>feb6a9fe25aebe899d50019936e3017e</t>
  </si>
  <si>
    <t>Bệnh viện Đa khoa Hồng Ngọc - Phúc Trường Minh</t>
  </si>
  <si>
    <t>K90.1</t>
  </si>
  <si>
    <t>b83724c71b9bbe899d5001992d5c9ba8</t>
  </si>
  <si>
    <t>Hệ thống Phòng khám Nhi Đồng 315 - PK 16</t>
  </si>
  <si>
    <t>Viêm mũi họng cấp bội nhiễm. Viêm mũi dị ứng</t>
  </si>
  <si>
    <t>a11b54fe1b9bbe899d5001992d58140b</t>
  </si>
  <si>
    <t>Viêm mũi họng cấp [cảm thường] bội nhiễm</t>
  </si>
  <si>
    <t>23e907f91b9bbe899d5001992d543ff5</t>
  </si>
  <si>
    <t>Viêm mũi họng cấp [cảm thường]</t>
  </si>
  <si>
    <t>97f563131b9bbe899d5001992d50519e</t>
  </si>
  <si>
    <t>Viêm mũi dị ứng</t>
  </si>
  <si>
    <t>2107f5631b9bbe899d50019917fe611d</t>
  </si>
  <si>
    <t>viêm phế quản cấp</t>
  </si>
  <si>
    <t>20f830e01b9bbe899d5001992791a907</t>
  </si>
  <si>
    <t>Phòng khám Happy Baby Biên Hòa</t>
  </si>
  <si>
    <t>Viêm mũi họng do siêu vi</t>
  </si>
  <si>
    <t>b927ec761b9bbe899d5001992786f2c8</t>
  </si>
  <si>
    <t>Bệnh viện đa khoa Xanh Pôn</t>
  </si>
  <si>
    <t xml:space="preserve">Viêm họng cấp, viêm phổi </t>
  </si>
  <si>
    <t>458295fa1b9bbe899d50019927670eab</t>
  </si>
  <si>
    <t>Bệnh viện Đại học Y Hà Nội</t>
  </si>
  <si>
    <t>Viêm họng cấp có mủ, viêm phế quản cấp</t>
  </si>
  <si>
    <t>00e2a3fc1b9bbe899d50019925338c5d</t>
  </si>
  <si>
    <t xml:space="preserve">BỆNH VIỆN ĐA KHOA QUỐC TẾ THIÊN ĐỨC </t>
  </si>
  <si>
    <t>Viêm mũi họng cấp, viêm amydan cấp mủ 2 bên</t>
  </si>
  <si>
    <t>3c01b7fe1b9bbe899d5001991f68e530</t>
  </si>
  <si>
    <t>Viêm mũi họng cấp(cảm thường)</t>
  </si>
  <si>
    <t>5ea1eb351b9bbe899d5001991ee58657</t>
  </si>
  <si>
    <t>viêm tiểu phế quản cấp</t>
  </si>
  <si>
    <t>16e3afc01b9bbe899d5001991ed004b0</t>
  </si>
  <si>
    <t>viêm amyđan cấp</t>
  </si>
  <si>
    <t>bbfad0fb1b9bbe899d5001991eacc78a</t>
  </si>
  <si>
    <t>Nhiễm trùng đường hô hấp trên, viêm kết mạc</t>
  </si>
  <si>
    <t>07c171371b9bbe899d5001991db588dc</t>
  </si>
  <si>
    <t>180150731b9bbe899d5001990ecd2d32</t>
  </si>
  <si>
    <t>Bệnh viện Đông Đô</t>
  </si>
  <si>
    <t>Thai 07 tuần 05 ngày doạ xảy/ Dị ứng chưa rõ nguyên nhân, polyp cổ tử cung</t>
  </si>
  <si>
    <t>SELF</t>
  </si>
  <si>
    <t>Thai sản</t>
  </si>
  <si>
    <t>18-35</t>
  </si>
  <si>
    <t>9612ec411b9bbe899d5001991a97dc02</t>
  </si>
  <si>
    <t>viêm tai giữa cấp mũ bên trái, chấm xuất huyết dưới da</t>
  </si>
  <si>
    <t>11c656ff1b9bbe899d50019919d5dfba</t>
  </si>
  <si>
    <t>Bệnh viện Hoàn Mỹ Sài Gòn Premier</t>
  </si>
  <si>
    <t>Viêm amydan cấp</t>
  </si>
  <si>
    <t>678a13671b9bbe899d50019919cabed3</t>
  </si>
  <si>
    <t>Sốt, nhiễm trùng hô hấp trên</t>
  </si>
  <si>
    <t>fe7addf91b9bbe899d500199195ee09c</t>
  </si>
  <si>
    <t>Viêm amydan</t>
  </si>
  <si>
    <t>9c82c0ff1b9bbe899d500199195b9668</t>
  </si>
  <si>
    <t>Viêm phế quản cấp + Thở khò khè</t>
  </si>
  <si>
    <t>a038b7fe1b9bbe899d50019918bc6057</t>
  </si>
  <si>
    <t xml:space="preserve">Viêm mũi họng cấp </t>
  </si>
  <si>
    <t>591e67f81b9bbe899d5001991860528d</t>
  </si>
  <si>
    <t>Bệnh viện Quận Tân Phú</t>
  </si>
  <si>
    <t>tay chân miệng</t>
  </si>
  <si>
    <t>980130741b9bbe899d500199185cfbb7</t>
  </si>
  <si>
    <t>18700bd61b9bbe899d50019917f35bca</t>
  </si>
  <si>
    <t>Viêm phổi</t>
  </si>
  <si>
    <t>1352d7041b9bbe899d500199153c7d5b</t>
  </si>
  <si>
    <t>khó tiêu chức năng</t>
  </si>
  <si>
    <t>23b283fa1b9bbe899d50019915373a78</t>
  </si>
  <si>
    <t>tay chân miệng độ IIa, ngày 2</t>
  </si>
  <si>
    <t>7c07e2a11b9bbe899d5001991329f48a</t>
  </si>
  <si>
    <t>J00, R06.2</t>
  </si>
  <si>
    <t>2bec81f91b9bbe899d500199129107c4</t>
  </si>
  <si>
    <t>nhiễm trùng đường ruột đỡ giảm</t>
  </si>
  <si>
    <t>1ab0b0fd1b9bbe899d500199127cd6b9</t>
  </si>
  <si>
    <t xml:space="preserve">Tiêu chảy nhiễm khuẩn </t>
  </si>
  <si>
    <t>Nhiễm trùng</t>
  </si>
  <si>
    <t>11a5c9331b9bbe899d500198f3bbbfe5</t>
  </si>
  <si>
    <t>Covid-19, xác định có virus</t>
  </si>
  <si>
    <t>f2f9a3fe1b9bbe899d5001990416790f</t>
  </si>
  <si>
    <t>viêm hô hấp trên, viêm kết mạc</t>
  </si>
  <si>
    <t>22a6ea441b9bbe899d500198f6006d4f</t>
  </si>
  <si>
    <t>Bệnh viện Đa khoa Nông nghiệp</t>
  </si>
  <si>
    <t>Viêm tiểu phế quản cấp bội nhiệm, sốt xác định khác</t>
  </si>
  <si>
    <t>614558fb1b9bbe899d500198f1596971</t>
  </si>
  <si>
    <t>viêm tiểu phế quản</t>
  </si>
  <si>
    <t>968652161b9bbe899d500198ee9afa7d</t>
  </si>
  <si>
    <t>Bệnh viện Đa khoa Quốc tế Columbia Asia Bình Dương</t>
  </si>
  <si>
    <t xml:space="preserve">Viêm họng có phỏng nước do virus đường ruột với phát ban </t>
  </si>
  <si>
    <t>f2a214fc1b9bbe899d500198e6ac71f0</t>
  </si>
  <si>
    <t>Bệnh viện Nhi Đồng Thành Phố</t>
  </si>
  <si>
    <t>viêm phế quản phổi</t>
  </si>
  <si>
    <t>0a7318f71b9bbe899d500198e6a4c29c</t>
  </si>
  <si>
    <t>0f1d73f61b9bbe899d500198e5f5876b</t>
  </si>
  <si>
    <t>Viêm tiểu phế quản cấp - Viêm mũi họng cấp</t>
  </si>
  <si>
    <t>5e152cfc1b9bbe899d500198e5dff020</t>
  </si>
  <si>
    <t>Tay chân miệng độ I</t>
  </si>
  <si>
    <t>0a58b8f91b9bbe899d500198e4d65916</t>
  </si>
  <si>
    <t>Viêm mũi</t>
  </si>
  <si>
    <t>43b4fafd1b9bbe899d500198e4d2f3df</t>
  </si>
  <si>
    <t>Viêm mũi họng cấp [ cảm thường ] bội nhiễm - Táo bón</t>
  </si>
  <si>
    <t>4423e4f91b9bbe899d500198e08de929</t>
  </si>
  <si>
    <t>Bệnh viện Nhi Đồng II</t>
  </si>
  <si>
    <t>B08.8- Nhiễm virus xác định khác có biểu hiện tổn thương tại da và niêm mạc - độ 1 n2</t>
  </si>
  <si>
    <t>ee32a6fc1b9bbe899d500198e08a25de</t>
  </si>
  <si>
    <t>Rối loạn tiêu hóa; J00- Viêm mũi họng cấp</t>
  </si>
  <si>
    <t>Rối loạn tiêu hóa</t>
  </si>
  <si>
    <t>1336ac601b9bbe899d500198e085abe4</t>
  </si>
  <si>
    <t>Viêm họng cấp, rối loạn tiêu hóa</t>
  </si>
  <si>
    <t>d2f4baff1b9bbe899d500198d4f0e448</t>
  </si>
  <si>
    <t>Viêm họng cấp</t>
  </si>
  <si>
    <t>3dbf7c911b9bbe899d500198df57ba03</t>
  </si>
  <si>
    <t>ac841afd1b9bbe899d500198d06420da</t>
  </si>
  <si>
    <t>viêm tai giữa cấp mủ, tạm ổn</t>
  </si>
  <si>
    <t>13eb6fd23ffdbe899d500198cbeb651f</t>
  </si>
  <si>
    <t>Bệnh viện Đa khoa Quốc tế Bắc Hà</t>
  </si>
  <si>
    <t>viêm mũi họng cấp</t>
  </si>
  <si>
    <t>2a3d58ff3ffdbe899d500198caf036ca</t>
  </si>
  <si>
    <t>Bệnh viện Quân Y 103 (cơ sở 2 Hà Đông)</t>
  </si>
  <si>
    <t xml:space="preserve">Nhiễm khuẩn tiêu hoá </t>
  </si>
  <si>
    <t>231409e43ffdbe899d500198c6e8fd1b</t>
  </si>
  <si>
    <t>viêm phế quản cấp, sẩn ngứa, bệnh trào ngươic dạ dày, thực quản</t>
  </si>
  <si>
    <t>1275dfe03ffdbe899d500198c7cb3983</t>
  </si>
  <si>
    <t>Viêm họng Viêm phế quản</t>
  </si>
  <si>
    <t>0fdec3223ffdbe899d500198c786f210</t>
  </si>
  <si>
    <t>Bệnh viện Đa khoa Vĩnh Đức</t>
  </si>
  <si>
    <t>Bé sốt cao kèm tiêu chảy tại nhà hai ngày nhưng không bớt nên được đưa vào viện. Tại đây các bác sĩ kiểm tra và chuẩn đoán bé bị nhiễm trùng đường hô hấp cấp trên, nhiễm trùng đường ruột do vi khuẩn không xác định, rối loạn cân bằng điện gioả và nước chưa được phân loại ở phần khác, viêm da cơ địa khác.</t>
  </si>
  <si>
    <t>500b9db63815be899d500198c1247f76</t>
  </si>
  <si>
    <t>viêm tai giữa chảy mủ bên trái</t>
  </si>
  <si>
    <t>c01574d33815be899d500198c0c425da</t>
  </si>
  <si>
    <t>viêm tiểu phế quản bội nhiễm</t>
  </si>
  <si>
    <t>25554d063815be899d500198bc38955b</t>
  </si>
  <si>
    <t>viêm mũi họng</t>
  </si>
  <si>
    <t>808146fd3815be899d500198bc35d152</t>
  </si>
  <si>
    <t>Viêm tiểu phế quản cấp, rối loạn tiêu hoá</t>
  </si>
  <si>
    <t>1fd943133815be899d500198b8c8227c</t>
  </si>
  <si>
    <t>Viêm phế quản cấp, viêm tai giữa ứ mủ Phải</t>
  </si>
  <si>
    <t>91d667d73815be899d500198ad917d20</t>
  </si>
  <si>
    <t>Viêm V.A cấp, viêm amydal, rối loạn chức năng ruột</t>
  </si>
  <si>
    <t>c4b4b6573815be899d500198a2320193</t>
  </si>
  <si>
    <t>Viêm mũi họng - Táo bón</t>
  </si>
  <si>
    <t>2b24fa033815be899d500198a22de99f</t>
  </si>
  <si>
    <t>Viêm họng/Sốt ngày 1</t>
  </si>
  <si>
    <t>bd2068fa3815be899d5001989e6d3300</t>
  </si>
  <si>
    <t>50f400fc3815be899d5001989e69e347</t>
  </si>
  <si>
    <t>Viêm mũi họng, sốt N3</t>
  </si>
  <si>
    <t>d964eb913815be899d5001989d9034bb</t>
  </si>
  <si>
    <t>viêm phế quản phổi, Hen</t>
  </si>
  <si>
    <t>ba25c7fc3815be899d50019899e0d085</t>
  </si>
  <si>
    <t>0c879bf53815be899d50019899dd9c1a</t>
  </si>
  <si>
    <t>6207dfa13815be899d50019899d46476</t>
  </si>
  <si>
    <t>c2ef8d053815be899d50019899cde7e6</t>
  </si>
  <si>
    <t>Viêm tiểu phế quản bội nhiễm</t>
  </si>
  <si>
    <t>56d28fff3815be899d50019899c09efd</t>
  </si>
  <si>
    <t>1cda84763815be899d5001989764970c</t>
  </si>
  <si>
    <t>Bệnh viện nhi Hà Nội</t>
  </si>
  <si>
    <t>Nhiễm adeno viêm tai giữa nung mủ, viêm mũi mủ, viêm phổi</t>
  </si>
  <si>
    <t>db8eeefe3815be899d50019894d9df3d</t>
  </si>
  <si>
    <t>Viêm phế quản cấp, Nhiễm trùng đường hô hấp trên cấp, Rối loạn tiêu hoá</t>
  </si>
  <si>
    <t>92e6e0fd3815be899d50019894bfadc3</t>
  </si>
  <si>
    <t>Nhiễm trùng đường hô hấp trên cấp, viêm phế quản</t>
  </si>
  <si>
    <t>b598c3f83815be899d5001988599f81d</t>
  </si>
  <si>
    <t>Viêm phế quản cấp ổn định</t>
  </si>
  <si>
    <t>01f839f83815be899d5001987fc5ed66</t>
  </si>
  <si>
    <t>0213d7ff3815be899d500198743465ad</t>
  </si>
  <si>
    <t>1fceadf83815be899d5001987a31bb98</t>
  </si>
  <si>
    <t>gãy 1/3 dưới 2 xương cẳng tay phải</t>
  </si>
  <si>
    <t>LABOR ACCIDENT</t>
  </si>
  <si>
    <t>0648b2fc3815be899d5001987a083008</t>
  </si>
  <si>
    <t>Bệnh viện Quốc tế Sản Nhi Hải Phòng</t>
  </si>
  <si>
    <t>chấn thương bàn tay P</t>
  </si>
  <si>
    <t>b50450fd3815be899d5001987452af9f</t>
  </si>
  <si>
    <t>Bệnh viện đa khoa Xuyên Á</t>
  </si>
  <si>
    <t>7b7280ff3815be899d500198744df5fd</t>
  </si>
  <si>
    <t>Bệnh viện Đa khoa Xuyên Á - Vĩnh Long</t>
  </si>
  <si>
    <t>1f7a52c33815be899d5001987427d04c</t>
  </si>
  <si>
    <t>viêm phổi do virus hợp bào hô hấp</t>
  </si>
  <si>
    <t>0dbf7bf93815be899d50019874145468</t>
  </si>
  <si>
    <t>viêm phế quản cấp- covid 19</t>
  </si>
  <si>
    <t>051a95fa3815be899d500198740f3323</t>
  </si>
  <si>
    <t>viêm phế quản phổi - Covid 19</t>
  </si>
  <si>
    <t>0e7eed673815be899d5001986ff53922</t>
  </si>
  <si>
    <t>Bệnh viện Hồng Ngọc - Yên Ninh</t>
  </si>
  <si>
    <t>khám lại sau ra viện chuẩn đoán tiêu chảy cấp, viêm mũi họng cấp, viêm tai giữa ứ mủ 2 bên</t>
  </si>
  <si>
    <t>9de9b8ff3815be899d5001986fe5a56d</t>
  </si>
  <si>
    <t>tiêu chảy cấp, viêm mũi họng cấp, viêm tai giữa</t>
  </si>
  <si>
    <t>135972203815be899d5001986b545197</t>
  </si>
  <si>
    <t xml:space="preserve">viêm tiểu phế quản bội nhiễm, viêm thanh quản, viêm mũi họng, rsv </t>
  </si>
  <si>
    <t>632e2afb3815be899d50019865364798</t>
  </si>
  <si>
    <t>viêm hồi manh tràng</t>
  </si>
  <si>
    <t>1f9939f93815be899d5001986311eed4</t>
  </si>
  <si>
    <t>J00, viêm mũi họng cấp</t>
  </si>
  <si>
    <t>ce690af83815be899d50019859f198f7</t>
  </si>
  <si>
    <t>ho - nhiễm virus không xác định</t>
  </si>
  <si>
    <t>67c438633815be899d50019859ebbbb1</t>
  </si>
  <si>
    <t>viêm họng cấp, viêm dạ dày ruột và đại tràng</t>
  </si>
  <si>
    <t>45031e973815be899d50019859b3e122</t>
  </si>
  <si>
    <t>Hệ thống Phòng khám Nhi Đồng 315 - 308 Tân Sơn Nhì</t>
  </si>
  <si>
    <t>c04b3afa3815be899d50019859b1bd81</t>
  </si>
  <si>
    <t>d47ed8203815be899d50019859aec23f</t>
  </si>
  <si>
    <t>4a9edcfe3815be899d500198592c002a</t>
  </si>
  <si>
    <t>viêm phế quản</t>
  </si>
  <si>
    <t>99204df95941be899d5001984f4fce57</t>
  </si>
  <si>
    <t>6f0db5fb5941be899d5001984f299baa</t>
  </si>
  <si>
    <t>Viêm họng có phỏng nước do virus đường ruột với phát ban</t>
  </si>
  <si>
    <t>c60d53fd5941be899d5001984f319565</t>
  </si>
  <si>
    <t>sốt đầu ngày 3 chưa loại trừ sốt xuất huyết</t>
  </si>
  <si>
    <t>1949f8835941be899d5001984f2ff922</t>
  </si>
  <si>
    <t>nhiễm siêu vi</t>
  </si>
  <si>
    <t>5628a5745941be899d5001984e306706</t>
  </si>
  <si>
    <t>Bệnh viện đa khoa Tâm Anh</t>
  </si>
  <si>
    <t>Nôn nhiều có mất nước; tiêu chảy cấp</t>
  </si>
  <si>
    <t>Nôn nhiều có mất nước</t>
  </si>
  <si>
    <t>1d9351fc5941be899d50019841259dcf</t>
  </si>
  <si>
    <t>Trung tâm y tế huyện Phù Cát</t>
  </si>
  <si>
    <t>1473a8fc5941be899d5001983f631301</t>
  </si>
  <si>
    <t xml:space="preserve">viêm tiểu phế quản </t>
  </si>
  <si>
    <t>21737dfc1992be899d5001983cea6ceb</t>
  </si>
  <si>
    <t>Sốt Virus</t>
  </si>
  <si>
    <t>e508db221992be899d5001983ce52269</t>
  </si>
  <si>
    <t>nhiễm trùng đường hô hấp trên cấp</t>
  </si>
  <si>
    <t>58ee26fb1992be899d5001983b553033</t>
  </si>
  <si>
    <t>123059fd1992be899d5001983b525fac</t>
  </si>
  <si>
    <t>e48d09911992be899d5001983b12d7be</t>
  </si>
  <si>
    <t>Trào ngược dạ dày - thực quản</t>
  </si>
  <si>
    <t>149b5ee21992be899d50019837daa7d5</t>
  </si>
  <si>
    <t>1d403fa11992be899d50019836463eb8</t>
  </si>
  <si>
    <t xml:space="preserve">viêm hạch góc hàm </t>
  </si>
  <si>
    <t>ba2f16711992be899d500198332078f7</t>
  </si>
  <si>
    <t>Nhiễm trùng ở các vị trí không xác định</t>
  </si>
  <si>
    <t>462166101992be899d500198329c2244</t>
  </si>
  <si>
    <t>tiêu chảy rối loạn chức năng</t>
  </si>
  <si>
    <t>c07c67f91992be899d50019831a7c47b</t>
  </si>
  <si>
    <t>Viêm họng cấp/rối loạn tiêu hóa</t>
  </si>
  <si>
    <t>d589d7fb1992be899d50019831a2958c</t>
  </si>
  <si>
    <t>0da418f91992be899d5001982dfcece8</t>
  </si>
  <si>
    <t>Bệnh viện Mắt trung ương</t>
  </si>
  <si>
    <t>Mắt phải viêm kết mạc cấp</t>
  </si>
  <si>
    <t>238cea101992be899d5001982c27706b</t>
  </si>
  <si>
    <t xml:space="preserve">Viêm ruột do Adenovirus </t>
  </si>
  <si>
    <t>472ed1251992be899d5001982c117ea7</t>
  </si>
  <si>
    <t>4062cdf21992be899d5001982c0e17b7</t>
  </si>
  <si>
    <t>1dfcbdfe1992be899d5001982c0b40b6</t>
  </si>
  <si>
    <t>viêm phế quản - TD GERD</t>
  </si>
  <si>
    <t>a98847971992be899d5001982b1a8112</t>
  </si>
  <si>
    <t>Bệnh viện đa khoa quốc tế Vinmec Smart City</t>
  </si>
  <si>
    <t>Viêm mũi mủ, viêm tai giữa cấp bên trái</t>
  </si>
  <si>
    <t>23de60c24ea9be899d5001981c56dead</t>
  </si>
  <si>
    <t>Phòng khám Tai mũi họng Song Linh</t>
  </si>
  <si>
    <t>viêm A cấp mủ</t>
  </si>
  <si>
    <t>02be95034ea9be899d5001981cba36fb</t>
  </si>
  <si>
    <t>sưng phần mềm vùng trán do chấn thương</t>
  </si>
  <si>
    <t>07b54cfa4ea9be899d500198225b8b57</t>
  </si>
  <si>
    <t>Bệnh viện đa khoa Tâm Trí Quảng Nam</t>
  </si>
  <si>
    <t>nhiễm trùng đường ruột, viêm loét miệng do tay chân miệng</t>
  </si>
  <si>
    <t>f25a8bff4ea9be899d5001981acf7f9f</t>
  </si>
  <si>
    <t>viêm mũi họng cấp- sốt cao khó hạ</t>
  </si>
  <si>
    <t>1fd42efe4ea9be899d50019817240a1a</t>
  </si>
  <si>
    <t>viem mui hong</t>
  </si>
  <si>
    <t>cff7fb674f8ebe899d5001981412f22f</t>
  </si>
  <si>
    <t>Phòng khám đa khoa (thuộc CTy TNHH PKĐK Đại Phước)</t>
  </si>
  <si>
    <t>Đau lưng; (M54;)</t>
  </si>
  <si>
    <t>Đau lưng</t>
  </si>
  <si>
    <t>Cơ xương khớp</t>
  </si>
  <si>
    <t>36-55</t>
  </si>
  <si>
    <t>e1d7b2fb4f8ebe899d500198140a3050</t>
  </si>
  <si>
    <t>Viêm kết mạc dị ứng cấp; (H10.1;)</t>
  </si>
  <si>
    <t>Viêm kết mạc dị ứng cấp</t>
  </si>
  <si>
    <t>b40939ff4f8ebe899d5001981400190a</t>
  </si>
  <si>
    <t>Nhiễm khuẩn hệ tiết niệu, vị trí không xác định; (N39.0;)</t>
  </si>
  <si>
    <t>Nhiễm khuẩn hệ tiết niệu, vị trí không xác định</t>
  </si>
  <si>
    <t>Thận/Tiết niệu</t>
  </si>
  <si>
    <t>99a9ca104f8ebe899d50019813f6310f</t>
  </si>
  <si>
    <t>Lẹo và chắp ; (H00;)</t>
  </si>
  <si>
    <t xml:space="preserve">Lẹo và chắp </t>
  </si>
  <si>
    <t>1e2a06ff4f8ebe899d500198123da9a1</t>
  </si>
  <si>
    <t>Viêm phế quản cấp, rối loạn chức năng ruột, sarcovid 2</t>
  </si>
  <si>
    <t>7bf3ffd54f8ebe899d50019810ebbc65</t>
  </si>
  <si>
    <t>nhiễm trùng đường hô hấp trên cấp ở nhiều nơi và vị trí không phân loại, TD khò khè, bs men</t>
  </si>
  <si>
    <t>999835d64f8ebe899d5001980c612cef</t>
  </si>
  <si>
    <t>Chốc (L01)</t>
  </si>
  <si>
    <t>b5ef14f94bffbe899d500197f8aeebf0</t>
  </si>
  <si>
    <t>viêm tieu phế quản cấp, nhiễm trùng đường hô hấp trên</t>
  </si>
  <si>
    <t>13e6dcf94bffbe899d50019804580c87</t>
  </si>
  <si>
    <t>Nhiễm trùng đường hô hấp, Viêm phế quản cấp</t>
  </si>
  <si>
    <t>02bafbfe4bffbe899d5001980415892a</t>
  </si>
  <si>
    <t>Bệnh viện Da liễu Hà Nội</t>
  </si>
  <si>
    <t>viêm da dị ứng tiếp xúc do kim loại (bội nhiễm)</t>
  </si>
  <si>
    <t>66400ac74bffbe899d500197ff34d6dd</t>
  </si>
  <si>
    <t>Nhiễm trùng đường hô hấp trên cấp, không phân loại (J06.9), Viêm tai giữa hai bên (H66.9)</t>
  </si>
  <si>
    <t>831ec6f94bffbe899d500197fa13de47</t>
  </si>
  <si>
    <t>Bệnh viện Da liễu trung ương</t>
  </si>
  <si>
    <t xml:space="preserve">tổ đỉa ( chàm dạng trứng sam) </t>
  </si>
  <si>
    <t>9f75ecd64bffbe899d500197f7b93a52</t>
  </si>
  <si>
    <t>Phòng khám đa khoa (thuộc CTCP Y khoa CHAC 2) cs 42 Đặng Văn Bi</t>
  </si>
  <si>
    <t>hen suyễn cơn nhẹ, bội nhiễm</t>
  </si>
  <si>
    <t>99939a314bffbe899d500197f7b15ff6</t>
  </si>
  <si>
    <t>7d4253fc5696be899d500197f4b4fed4</t>
  </si>
  <si>
    <t>nhiễm nấm da, vảy phấn trắng</t>
  </si>
  <si>
    <t>0e63a0ff5696be899d500197f373d51f</t>
  </si>
  <si>
    <t>b5affafb5696be899d500197ef0a143b</t>
  </si>
  <si>
    <t>Viêm amydan cấp + Rối loạn tiêu hoá</t>
  </si>
  <si>
    <t>9e990b435696be899d500197ed1f144c</t>
  </si>
  <si>
    <t>viêm phế quản cấp có giảm, rối loạn tiêu hóa không mất nước</t>
  </si>
  <si>
    <t>c90e59fb5696be899d500197ed176457</t>
  </si>
  <si>
    <t xml:space="preserve">nhiễm trùng đường hô hấp trên cấp ở nhiều nơi và vị trí không phân loại, viêm phế quản cấp </t>
  </si>
  <si>
    <t>717946e45696be899d500197e968bf99</t>
  </si>
  <si>
    <t>8686b6875696be899d500197e964d0a0</t>
  </si>
  <si>
    <t>6849cafc5696be899d500197e32d545d</t>
  </si>
  <si>
    <t>viêm họng cấp, khó tiêu chức năng</t>
  </si>
  <si>
    <t>2049a2fe5696be899d500197e28d45f7</t>
  </si>
  <si>
    <t>nhiễm trùng đường hô hấp trên cấp-TD viêm phổi</t>
  </si>
  <si>
    <t>97d17ef85696be899d500197e052a164</t>
  </si>
  <si>
    <t>Viêm ruột do rotavirus, COVID-19 xác định</t>
  </si>
  <si>
    <t>60a97b745696be899d500197e03f1322</t>
  </si>
  <si>
    <t>Viêm phổi - Rối loạn của cơ quan tiêu hoá khác</t>
  </si>
  <si>
    <t>054933fb5696be899d500197ddb86fc2</t>
  </si>
  <si>
    <t>Nhiễm trùng đường ruột do vi khuẩn khác</t>
  </si>
  <si>
    <t>eeb859fe5696be899d500197d8841f67</t>
  </si>
  <si>
    <t>Viêm kết mạc, suy dinh dưỡng vừa do thiếu protein năng lượng</t>
  </si>
  <si>
    <t>082b38fe5696be899d500197d4b54dcb</t>
  </si>
  <si>
    <t>nhiễm trùng đường hô hấp trên cấp, không phân loại</t>
  </si>
  <si>
    <t>e672f4fa1644be899d500197cfdb5b6e</t>
  </si>
  <si>
    <t>d459f8e51644be899d500197cf14573c</t>
  </si>
  <si>
    <t>tái khám</t>
  </si>
  <si>
    <t>fd7812f91644be899d500197ce5775fc</t>
  </si>
  <si>
    <t>Viêm phế quản khò khè, viêm mũi họng, nút Ráy tai</t>
  </si>
  <si>
    <t>ca7c7afa1644be899d500197ce325faf</t>
  </si>
  <si>
    <t>Trung tâm Bác sĩ gia đình</t>
  </si>
  <si>
    <t>viêm tai giữa+ cúm A</t>
  </si>
  <si>
    <t>315c6afd1644be899d500197ce26addd</t>
  </si>
  <si>
    <t xml:space="preserve">viêm phế quản phổi, viêm tai giữa </t>
  </si>
  <si>
    <t>8fb51d531644be899d500197ce1d925d</t>
  </si>
  <si>
    <t>nhiễm virus ở vị trí không xác định, phát ban, sốt n2</t>
  </si>
  <si>
    <t>fa9d8dfe1644be899d500197ce20bdfa</t>
  </si>
  <si>
    <t>áp xe da</t>
  </si>
  <si>
    <t>9a6904fe1644be899d500197ce19402b</t>
  </si>
  <si>
    <t>áp xe góc hàm</t>
  </si>
  <si>
    <t>Month</t>
  </si>
  <si>
    <t>Viêm họng cấp, không đặc hiệu (j02.9), rối loạn tiêu hoá (k30)</t>
  </si>
  <si>
    <t>Nhiễm trùng đường ruột do vi khuẩn</t>
  </si>
  <si>
    <t>Rối loạn tiêu hoá-viêm phế quản</t>
  </si>
  <si>
    <t>Bệnh tay chân miệng độ 1 ngày 9 - nhiễm trùng đường ruột do vi khuẩn</t>
  </si>
  <si>
    <t>Viên phế quản phổi, viêm tai giữa ứ dịch 2 bên, viêm mũi họng amidan cấp, nấm miệng, rối loạn tiêu hoá</t>
  </si>
  <si>
    <t>Viêm thanh quản cấp (j04.0) viêm mũi họng cấp j00</t>
  </si>
  <si>
    <t>Bệnh tay chân miệng độ 1 ngày 6 - nhiễm trùng đường ruột do vi khuẩn</t>
  </si>
  <si>
    <t>Viêm phế quản cấp, tay chân miệng, viêm amydan, viêm v.a cấp</t>
  </si>
  <si>
    <t>Viêm họng, viêm amidan, viêm phế quan, nhiễm khuẩn nặng</t>
  </si>
  <si>
    <t>Dị ứng nổi mảng đỏ</t>
  </si>
  <si>
    <t>Viêm mũi họng/ trào ngược dạ dày thực quản</t>
  </si>
  <si>
    <t>Viêm mũi họng - viêm amidan mủ</t>
  </si>
  <si>
    <t xml:space="preserve">Ban đỏ ctnn, td tay chân miệng độ i </t>
  </si>
  <si>
    <t>Viêm phế quản cấp (viêm mũi họng)</t>
  </si>
  <si>
    <t>Viêm ruột, viêm tai giữa</t>
  </si>
  <si>
    <t>Viêm mũi họng cấp bội nhiễm. viêm mũi dị ứng</t>
  </si>
  <si>
    <t>Viêm phế quản cấp</t>
  </si>
  <si>
    <t>Viêm tiểu phế quản cấp</t>
  </si>
  <si>
    <t>Viêm amyđan cấp</t>
  </si>
  <si>
    <t>Thai 07 tuần 05 ngày doạ xảy/ dị ứng chưa rõ nguyên nhân, polyp cổ tử cung</t>
  </si>
  <si>
    <t>Viêm tai giữa cấp mũ bên trái, chấm xuất huyết dưới da</t>
  </si>
  <si>
    <t>Viêm phế quản cấp + thở khò khè</t>
  </si>
  <si>
    <t>Tay chân miệng</t>
  </si>
  <si>
    <t>Khó tiêu chức năng</t>
  </si>
  <si>
    <t>Tay chân miệng độ iia, ngày 2</t>
  </si>
  <si>
    <t>J00, r06.2</t>
  </si>
  <si>
    <t>Nhiễm trùng đường ruột đỡ giảm</t>
  </si>
  <si>
    <t>Viêm hô hấp trên, viêm kết mạc</t>
  </si>
  <si>
    <t>Viêm tiểu phế quản</t>
  </si>
  <si>
    <t>Viêm tiểu phế quản cấp - viêm mũi họng cấp</t>
  </si>
  <si>
    <t>Tay chân miệng độ i</t>
  </si>
  <si>
    <t>Viêm mũi họng cấp [ cảm thường ] bội nhiễm - táo bón</t>
  </si>
  <si>
    <t>B08.8- nhiễm virus xác định khác có biểu hiện tổn thương tại da và niêm mạc - độ 1 n2</t>
  </si>
  <si>
    <t>Viêm tai giữa cấp mủ, tạm ổn</t>
  </si>
  <si>
    <t>Viêm phế quản cấp, sẩn ngứa, bệnh trào ngươic dạ dày, thực quản</t>
  </si>
  <si>
    <t>Viêm họng viêm phế quản</t>
  </si>
  <si>
    <t>Bé sốt cao kèm tiêu chảy tại nhà hai ngày nhưng không bớt nên được đưa vào viện. tại đây các bác sĩ kiểm tra và chuẩn đoán bé bị nhiễm trùng đường hô hấp cấp trên, nhiễm trùng đường ruột do vi khuẩn không xác định, rối loạn cân bằng điện gioả và nước chưa được phân loại ở phần khác, viêm da cơ địa khác.</t>
  </si>
  <si>
    <t>Viêm tai giữa chảy mủ bên trái</t>
  </si>
  <si>
    <t>Viêm phế quản cấp, viêm tai giữa ứ mủ phải</t>
  </si>
  <si>
    <t>Viêm v.a cấp, viêm amydal, rối loạn chức năng ruột</t>
  </si>
  <si>
    <t>Viêm mũi họng - táo bón</t>
  </si>
  <si>
    <t>Viêm họng/sốt ngày 1</t>
  </si>
  <si>
    <t>Viêm mũi họng, sốt n3</t>
  </si>
  <si>
    <t>Viêm phế quản phổi, hen</t>
  </si>
  <si>
    <t>Viêm phế quản cấp, nhiễm trùng đường hô hấp trên cấp, rối loạn tiêu hoá</t>
  </si>
  <si>
    <t>Gãy 1/3 dưới 2 xương cẳng tay phải</t>
  </si>
  <si>
    <t>Chấn thương bàn tay p</t>
  </si>
  <si>
    <t>Viêm phổi do virus hợp bào hô hấp</t>
  </si>
  <si>
    <t>Viêm phế quản cấp- covid 19</t>
  </si>
  <si>
    <t>Viêm phế quản phổi - covid 19</t>
  </si>
  <si>
    <t>Khám lại sau ra viện chuẩn đoán tiêu chảy cấp, viêm mũi họng cấp, viêm tai giữa ứ mủ 2 bên</t>
  </si>
  <si>
    <t>Tiêu chảy cấp, viêm mũi họng cấp, viêm tai giữa</t>
  </si>
  <si>
    <t xml:space="preserve">Viêm tiểu phế quản bội nhiễm, viêm thanh quản, viêm mũi họng, rsv </t>
  </si>
  <si>
    <t>Viêm hồi manh tràng</t>
  </si>
  <si>
    <t>Ho - nhiễm virus không xác định</t>
  </si>
  <si>
    <t>Viêm họng cấp, viêm dạ dày ruột và đại tràng</t>
  </si>
  <si>
    <t>Sốt đầu ngày 3 chưa loại trừ sốt xuất huyết</t>
  </si>
  <si>
    <t>Nhiễm siêu vi</t>
  </si>
  <si>
    <t xml:space="preserve">Viêm tiểu phế quản </t>
  </si>
  <si>
    <t>Sốt virus</t>
  </si>
  <si>
    <t xml:space="preserve">Viêm hạch góc hàm </t>
  </si>
  <si>
    <t>Tiêu chảy rối loạn chức năng</t>
  </si>
  <si>
    <t xml:space="preserve">Viêm ruột do adenovirus </t>
  </si>
  <si>
    <t>Viêm phế quản - td gerd</t>
  </si>
  <si>
    <t>Viêm a cấp mủ</t>
  </si>
  <si>
    <t>Sưng phần mềm vùng trán do chấn thương</t>
  </si>
  <si>
    <t>Nhiễm trùng đường ruột, viêm loét miệng do tay chân miệng</t>
  </si>
  <si>
    <t>Viêm mũi họng cấp- sốt cao khó hạ</t>
  </si>
  <si>
    <t>Viem mui hong</t>
  </si>
  <si>
    <t>Nhiễm trùng đường hô hấp trên cấp ở nhiều nơi và vị trí không phân loại, td khò khè, bs men</t>
  </si>
  <si>
    <t>Chốc (l01)</t>
  </si>
  <si>
    <t>Viêm tieu phế quản cấp, nhiễm trùng đường hô hấp trên</t>
  </si>
  <si>
    <t>Nhiễm trùng đường hô hấp, viêm phế quản cấp</t>
  </si>
  <si>
    <t>Viêm da dị ứng tiếp xúc do kim loại (bội nhiễm)</t>
  </si>
  <si>
    <t>Nhiễm trùng đường hô hấp trên cấp, không phân loại (j06.9), viêm tai giữa hai bên (h66.9)</t>
  </si>
  <si>
    <t xml:space="preserve">Tổ đỉa ( chàm dạng trứng sam) </t>
  </si>
  <si>
    <t>Hen suyễn cơn nhẹ, bội nhiễm</t>
  </si>
  <si>
    <t>Nhiễm nấm da, vảy phấn trắng</t>
  </si>
  <si>
    <t>Viêm amydan cấp + rối loạn tiêu hoá</t>
  </si>
  <si>
    <t>Viêm phế quản cấp có giảm, rối loạn tiêu hóa không mất nước</t>
  </si>
  <si>
    <t xml:space="preserve">Nhiễm trùng đường hô hấp trên cấp ở nhiều nơi và vị trí không phân loại, viêm phế quản cấp </t>
  </si>
  <si>
    <t>Viêm họng cấp, khó tiêu chức năng</t>
  </si>
  <si>
    <t>Nhiễm trùng đường hô hấp trên cấp-td viêm phổi</t>
  </si>
  <si>
    <t>Viêm ruột do rotavirus, covid-19 xác định</t>
  </si>
  <si>
    <t>Viêm phổi - rối loạn của cơ quan tiêu hoá khác</t>
  </si>
  <si>
    <t>Nhiễm trùng đường hô hấp trên cấp, không phân loại</t>
  </si>
  <si>
    <t>Tái khám</t>
  </si>
  <si>
    <t>Viêm phế quản khò khè, viêm mũi họng, nút ráy tai</t>
  </si>
  <si>
    <t>Viêm tai giữa+ cúm a</t>
  </si>
  <si>
    <t xml:space="preserve">Viêm phế quản phổi, viêm tai giữa </t>
  </si>
  <si>
    <t>Nhiễm virus ở vị trí không xác định, phát ban, sốt n2</t>
  </si>
  <si>
    <t>Áp xe da</t>
  </si>
  <si>
    <t>Áp xe góc hàm</t>
  </si>
  <si>
    <t>contractObjectId</t>
  </si>
  <si>
    <t>5af763f83815be899d50019878e5ffef</t>
  </si>
  <si>
    <t>43504efd7f8bbe899d50019449ba5778</t>
  </si>
  <si>
    <t>1136ccf87a1bbe899d50019753f4db5d</t>
  </si>
  <si>
    <t>3ecf7efb75c8be899d5001956abd408b</t>
  </si>
  <si>
    <t>e7056dfc7b61be899d500195376d0bdf</t>
  </si>
  <si>
    <t>8cee67fa1e92be899d500196e8e71072</t>
  </si>
  <si>
    <t>b4041b76168ebe899d5001934d218ce9</t>
  </si>
  <si>
    <t>1f9f9507168ebe899d500193af9b883f</t>
  </si>
  <si>
    <t>82097e071eecbe899d500194f39980eb</t>
  </si>
  <si>
    <t>2a6826fb6fcbbe899d500195fac295c7</t>
  </si>
  <si>
    <t>b1231cb26fcbbe899d500195ec39357c</t>
  </si>
  <si>
    <t>87ee5bfa54ccbe899d50019521552f30</t>
  </si>
  <si>
    <t>05e1b2f96fcbbe899d500196a384aa24</t>
  </si>
  <si>
    <t>f94258d56fcbbe899d50019652e38cb4</t>
  </si>
  <si>
    <t>a35827ff1eecbe899d5001951229a4b9</t>
  </si>
  <si>
    <t>769306fa75c8be899d5001954b3db504</t>
  </si>
  <si>
    <t>fb9ba0016fcbbe899d500195d178a84f</t>
  </si>
  <si>
    <t>2dd6adf86fcbbe899d500195dc559f2c</t>
  </si>
  <si>
    <t>1296ce307a1bbe899d50019734e1043b</t>
  </si>
  <si>
    <t>389a40fa6fcbbe899d500195effc1e6e</t>
  </si>
  <si>
    <t>3cce602175c8be899d5001954f974cbe</t>
  </si>
  <si>
    <t>776ac0c37a13be899d5001948d5f03c1</t>
  </si>
  <si>
    <t>8c81c1fd7a1bbe899d5001978716e584</t>
  </si>
  <si>
    <t>8a2131346fcbbe899d500195c2f674a2</t>
  </si>
  <si>
    <t>2ffc5971401abe899d5001921ce3bde1</t>
  </si>
  <si>
    <t>fc8982d77a1bbe899d50019755120dc2</t>
  </si>
  <si>
    <t>923e1995230dbe899d500193203e09a7</t>
  </si>
  <si>
    <t>0f6f0b43168ebe899d5001936118b993</t>
  </si>
  <si>
    <t>88e3a3fc168ebe899d500193611f734e</t>
  </si>
  <si>
    <t>8096c7f95696be899d500197e973ed1d</t>
  </si>
  <si>
    <t>67c34f415c0fbe899d500195884b8613</t>
  </si>
  <si>
    <t>20abfffc49d9be899d500193f6e88743</t>
  </si>
  <si>
    <t>4d63b7676fcbbe899d50019639b8383e</t>
  </si>
  <si>
    <t>4669c6f00b6dbe899d50019275362a80</t>
  </si>
  <si>
    <t>81e68b947b61be899d50019535db761f</t>
  </si>
  <si>
    <t>0c7008626fcbbe899d50019694457af4</t>
  </si>
  <si>
    <t>39a0e8937b61be899d500195426b8fd0</t>
  </si>
  <si>
    <t>76a55cff776bbe899d5001972648ad78</t>
  </si>
  <si>
    <t>a414dcfd54ccbe899d50019526e994c2</t>
  </si>
  <si>
    <t>99de7a331eecbe899d500195139d443d</t>
  </si>
  <si>
    <t>017563ff54ccbe899d50019526ed9acb</t>
  </si>
  <si>
    <t>aa702dfa3edbbe899d500192956dd672</t>
  </si>
  <si>
    <t>27b18cff1644be899d500197b5bb1a58</t>
  </si>
  <si>
    <t>d208cf90022ebe899d500192ec7d561d</t>
  </si>
  <si>
    <t>7d6f18a754ccbe899d500195265765e1</t>
  </si>
  <si>
    <t>a85b4efc168ebe899d5001938674e47f</t>
  </si>
  <si>
    <t>3d98d7c717bdbe899d500194a176e226</t>
  </si>
  <si>
    <t>e0107413022ebe899d500192bd8e48bd</t>
  </si>
  <si>
    <t>35aa204052b9be899d5001951de05882</t>
  </si>
  <si>
    <t>1bc811e317bdbe899d500194a17cd0bd</t>
  </si>
  <si>
    <t>aba048ff6fcbbe899d50019632f32186</t>
  </si>
  <si>
    <t>befb8cfb5c0fbe899d5001957e4bea14</t>
  </si>
  <si>
    <t>1936a0fd6fcbbe899d50019657f646ef</t>
  </si>
  <si>
    <t>7f139ef96fcbbe899d500195fa12ebd8</t>
  </si>
  <si>
    <t>e90a4047168ebe899d500193ac0c0204</t>
  </si>
  <si>
    <t>d75fe1fb1e92be899d500196bedb9a3c</t>
  </si>
  <si>
    <t>8c83e5746fcbbe899d5001967f988ffa</t>
  </si>
  <si>
    <t>4c4147fa75c8be899d50019565f80890</t>
  </si>
  <si>
    <t>79f4c221357cbe899d50019106914d0f</t>
  </si>
  <si>
    <t>2868bd4249d9be899d50019416575913</t>
  </si>
  <si>
    <t>8197adfc1e92be899d500196d1f834d3</t>
  </si>
  <si>
    <t>b999ba106fcbbe899d5001960a90e237</t>
  </si>
  <si>
    <t>d4af03f86fcbbe899d500196569ba66c</t>
  </si>
  <si>
    <t>fc2c0781776bbe899d50019724a6f40b</t>
  </si>
  <si>
    <t>d7143ff86fcbbe899d500195db197d61</t>
  </si>
  <si>
    <t>365868007a1bbe899d50019768210ff8</t>
  </si>
  <si>
    <t>149564727a1bbe899d5001976d387bfe</t>
  </si>
  <si>
    <t>eeda6213022ebe899d500192b7b844c8</t>
  </si>
  <si>
    <t>318252fa357cbe899d500191069214ab</t>
  </si>
  <si>
    <t>c84388ff5d37be899d500190defa11c8</t>
  </si>
  <si>
    <t>f45b5fd2230dbe899d5001931a50be88</t>
  </si>
  <si>
    <t>9801a7f86fcbbe899d50019647c27fea</t>
  </si>
  <si>
    <t>4a0b17fe7b61be899d500195374d3588</t>
  </si>
  <si>
    <t>4e1114fe7a13be899d5001945ebf613a</t>
  </si>
  <si>
    <t>409485fe5284be899d500193cd99960b</t>
  </si>
  <si>
    <t>cca7a225087cbe899d500190a536984a</t>
  </si>
  <si>
    <t>f3e0bde16fcbbe899d500195da7710a7</t>
  </si>
  <si>
    <t>6d453ae2357cbe899d50019111a827db</t>
  </si>
  <si>
    <t>peopleCityCode</t>
  </si>
  <si>
    <t>peopleCity</t>
  </si>
  <si>
    <t>compensationRate</t>
  </si>
  <si>
    <t>0f2c16f83815be899d50019878e5ffe2</t>
  </si>
  <si>
    <t>f784f0fc7f8bbe899d50019449ba576b</t>
  </si>
  <si>
    <t>7a9e22a67a1bbe899d50019753f4da8e</t>
  </si>
  <si>
    <t>9738e3f975c8be899d5001956abd3fd9</t>
  </si>
  <si>
    <t>9c3910fb7b61be899d500195376d0bcd</t>
  </si>
  <si>
    <t>31232afa1e92be899d500196e8e71058</t>
  </si>
  <si>
    <t>6938cdb5168ebe899d5001934d218cda</t>
  </si>
  <si>
    <t>c3d35846168ebe899d500193af9b8828</t>
  </si>
  <si>
    <t>373d21561eecbe899d500194f39980db</t>
  </si>
  <si>
    <t>de9cd8fa6fcbbe899d500195fac295b6</t>
  </si>
  <si>
    <t>1b8b71416fcbbe899d500195ec3934c0</t>
  </si>
  <si>
    <t>e057c0f954ccbe899d50019521552e55</t>
  </si>
  <si>
    <t>b91665f96fcbbe899d500196a384aa10</t>
  </si>
  <si>
    <t>53babd546fcbbe899d50019652e38bf6</t>
  </si>
  <si>
    <t>0db09cfe1eecbe899d5001951229a40c</t>
  </si>
  <si>
    <t>dffb6bf875c8be899d5001954b3db456</t>
  </si>
  <si>
    <t>550416ff6fcbbe899d500195d178a774</t>
  </si>
  <si>
    <t>864f03c66fcbbe899d500195dc559e7b</t>
  </si>
  <si>
    <t>7bfe24fe7a1bbe899d50019734e1036c</t>
  </si>
  <si>
    <t>9103b5f96fcbbe899d500195effc1db7</t>
  </si>
  <si>
    <t>9537d5ff75c8be899d5001954f974bf8</t>
  </si>
  <si>
    <t>d0d236427a13be899d5001948d5f0310</t>
  </si>
  <si>
    <t>e5f927fb7a1bbe899d5001978716e4c5</t>
  </si>
  <si>
    <t>3f55e3736fcbbe899d500195c2f67491</t>
  </si>
  <si>
    <t>8865ceff401abe899d5001921ce3bd0e</t>
  </si>
  <si>
    <t>56f1f7567a1bbe899d50019755120ce0</t>
  </si>
  <si>
    <t>fb968e14230dbe899d500193203e08f6</t>
  </si>
  <si>
    <t>b3a3cd82168ebe899d5001936118b984</t>
  </si>
  <si>
    <t>3d1856fb168ebe899d500193611f7340</t>
  </si>
  <si>
    <t>e9fe2df85696be899d500197e973ec64</t>
  </si>
  <si>
    <t>c03ca4ff5c0fbe899d500195884b852d</t>
  </si>
  <si>
    <t>d4dfa2fb49d9be899d500193f6e88734</t>
  </si>
  <si>
    <t>f1a76aa66fcbbe899d50019639b83821</t>
  </si>
  <si>
    <t>fa9d79300b6dbe899d50019275362a72</t>
  </si>
  <si>
    <t>ea4fe0237b61be899d50019535db7570</t>
  </si>
  <si>
    <t>65e86de06fcbbe899d50019694457a2f</t>
  </si>
  <si>
    <t>92194e127b61be899d500195426b8f1b</t>
  </si>
  <si>
    <t>2bd90ffe776bbe899d5001972648ad63</t>
  </si>
  <si>
    <t>59488ffc54ccbe899d50019526e994b3</t>
  </si>
  <si>
    <t>f247efb11eecbe899d500195139d4390</t>
  </si>
  <si>
    <t>b5a916fe54ccbe899d50019526ed9aba</t>
  </si>
  <si>
    <t>5fa4dff93edbbe899d500192956dd664</t>
  </si>
  <si>
    <t>dbe53fff1644be899d500197b5bb1a4b</t>
  </si>
  <si>
    <t>3c6035ff022ebe899d500192ec7d5566</t>
  </si>
  <si>
    <t>d6d78d2654ccbe899d50019526576530</t>
  </si>
  <si>
    <t>5d8ff0fb168ebe899d5001938674e470</t>
  </si>
  <si>
    <t>e1dc8a0717bdbe899d500194a176e20d</t>
  </si>
  <si>
    <t>4a78d991022ebe899d500192bd8e4814</t>
  </si>
  <si>
    <t>9e0395fe52b9be899d5001951de057ca</t>
  </si>
  <si>
    <t>cffcc32317bdbe899d500194a17cd0ae</t>
  </si>
  <si>
    <t>0519adfd6fcbbe899d50019632f320cc</t>
  </si>
  <si>
    <t>1864f1fa5c0fbe899d5001957e4be942</t>
  </si>
  <si>
    <t>cd6a53fc6fcbbe899d50019657f646df</t>
  </si>
  <si>
    <t>d88bf3f86fcbbe899d500195fa12eb17</t>
  </si>
  <si>
    <t>9e3ef286168ebe899d500193ac0c01f7</t>
  </si>
  <si>
    <t>8c83a4fa1e92be899d500196bedb9a29</t>
  </si>
  <si>
    <t>e5fb4bf26fcbbe899d5001967f988f3f</t>
  </si>
  <si>
    <t>a5b9acf875c8be899d50019565f807d2</t>
  </si>
  <si>
    <t>2e297560357cbe899d50019106914d00</t>
  </si>
  <si>
    <t>dc9c609149d9be899d50019416575906</t>
  </si>
  <si>
    <t>eaff03fa1e92be899d500196d1f8341e</t>
  </si>
  <si>
    <t>130220fe6fcbbe899d5001960a90e183</t>
  </si>
  <si>
    <t>3e0878576fcbbe899d500196569ba5b1</t>
  </si>
  <si>
    <t>a160c9c0776bbe899d50019724a6f3fd</t>
  </si>
  <si>
    <t>8c48e1e76fcbbe899d500195db197d4e</t>
  </si>
  <si>
    <t>9fb0ddfe7a1bbe899d50019768210f39</t>
  </si>
  <si>
    <t>7dfdc9f07a1bbe899d5001976d387b48</t>
  </si>
  <si>
    <t>931f1552022ebe899d500192b7b844b9</t>
  </si>
  <si>
    <t>e5b605f9357cbe899d5001910692149b</t>
  </si>
  <si>
    <t>7d773bff5d37be899d500190defa11b5</t>
  </si>
  <si>
    <t>a98f0222230dbe899d5001931a50be79</t>
  </si>
  <si>
    <t>4d355ae76fcbbe899d50019647c27fd9</t>
  </si>
  <si>
    <t>a3738cfc7b61be899d500195374d34be</t>
  </si>
  <si>
    <t>f255c6fd7a13be899d5001945ebf612c</t>
  </si>
  <si>
    <t>f4c838fe5284be899d500193cd9995fe</t>
  </si>
  <si>
    <t>71eb5564087cbe899d500190a536983d</t>
  </si>
  <si>
    <t>5d4913706fcbbe899d500195da770fe9</t>
  </si>
  <si>
    <t>c6bd9f61357cbe899d50019111a8272b</t>
  </si>
  <si>
    <t>contractId</t>
  </si>
  <si>
    <t>contractStartDate</t>
  </si>
  <si>
    <t>claimStartDate</t>
  </si>
  <si>
    <t>00ef5bfd087cbe899d5001909189131e</t>
  </si>
  <si>
    <t>02afe4643f13be899d500189b53d45a6</t>
  </si>
  <si>
    <t>08093cd26a92be899d50018a72ddfecd</t>
  </si>
  <si>
    <t>0bd22bfd1018be899d50018cfcb88048</t>
  </si>
  <si>
    <t>0c4023fa5893be899d50018738344f60</t>
  </si>
  <si>
    <t>13a313964e44be899d50018a03012090</t>
  </si>
  <si>
    <t>14f057fe7652be899d500191c58ebb58</t>
  </si>
  <si>
    <t>190f01fd34f5be899d50018c4c1be69d</t>
  </si>
  <si>
    <t>19d7a7fc6fcbbe899d500195ac697398</t>
  </si>
  <si>
    <t>1b7d12f86fcbbe899d50019661a3af3f</t>
  </si>
  <si>
    <t>1e3bc9fd1018be899d50018d1fdbda64</t>
  </si>
  <si>
    <t>1e7dc8536fcbbe899d50019637826f26</t>
  </si>
  <si>
    <t>23777dfd496ebe899d50018b5044a235</t>
  </si>
  <si>
    <t>28787afc289ebe899d500193d89cab10</t>
  </si>
  <si>
    <t>293242b737e7be899d50018967a5e15f</t>
  </si>
  <si>
    <t>2a3393e07b61be899d5001952e0c9f94</t>
  </si>
  <si>
    <t>2e8decfc7f8bbe899d500194452c8377</t>
  </si>
  <si>
    <t>30d713fa357cbe899d50019107989e65</t>
  </si>
  <si>
    <t>34e539a237e7be899d500189633749a2</t>
  </si>
  <si>
    <t>35d8b7ff0198be899d50018c866cafca</t>
  </si>
  <si>
    <t>384e6dff14d0be899d50018f941b565d</t>
  </si>
  <si>
    <t>4a7577f70584be899d50018fe75886aa</t>
  </si>
  <si>
    <t>4d9ba991087cbe899d500190b43fe362</t>
  </si>
  <si>
    <t>55e0d6fe75c8be899d50019547527763</t>
  </si>
  <si>
    <t>5676d2fe6fcbbe899d500195d1b30230</t>
  </si>
  <si>
    <t>5d1cd0c651fcbe899d5001900add31f5</t>
  </si>
  <si>
    <t>642b2fe30b6dbe899d50019264bd2d27</t>
  </si>
  <si>
    <t>684137f9087cbe899d500190aaa98860</t>
  </si>
  <si>
    <t>68a2b4ff51fcbe899d50019010afa26f</t>
  </si>
  <si>
    <t>6bb99a46022ebe899d500192bda24dcb</t>
  </si>
  <si>
    <t>6d6c90f91c70be899d5001915407a08f</t>
  </si>
  <si>
    <t>6e1794e475c8be899d500195641cd4d4</t>
  </si>
  <si>
    <t>70b0abfd0a70be899d50018874b0cc4c</t>
  </si>
  <si>
    <t>72a242276fcbbe899d50019629310b7c</t>
  </si>
  <si>
    <t>73871aff6fcbbe899d500195b2ad77e7</t>
  </si>
  <si>
    <t>751fca165893be899d500186d9fc53e4</t>
  </si>
  <si>
    <t>7d466cfa0ccbbe899d50018acbbced87</t>
  </si>
  <si>
    <t>7e017b475dbebe899d50018a26409b98</t>
  </si>
  <si>
    <t>7ecf67fc5e40be899d500193b9f97f97</t>
  </si>
  <si>
    <t>82c3e5fe52b9be899d50019518b3d9c6</t>
  </si>
  <si>
    <t>83528efa0b09be899d50018ee08809e9</t>
  </si>
  <si>
    <t>8c332937022ebe899d500192faf94729</t>
  </si>
  <si>
    <t>940e22607ac5be899d50018cf15c3c55</t>
  </si>
  <si>
    <t>991b61601cb8be899d50018e7b59f23d</t>
  </si>
  <si>
    <t>9fe7de511c70be899d50019154119ec6</t>
  </si>
  <si>
    <t>a03953d30a70be899d50018919d9303c</t>
  </si>
  <si>
    <t>a0c60bfb0a70be899d5001893ec62cb0</t>
  </si>
  <si>
    <t>a62f30347652be899d500191e44f77ef</t>
  </si>
  <si>
    <t>a8efbdfa087cbe899d50019091391ade</t>
  </si>
  <si>
    <t>b2eae1fb168ebe899d5001936242ffe7</t>
  </si>
  <si>
    <t>b402b2fc230dbe899d5001932fe474b4</t>
  </si>
  <si>
    <t>b55de2ff230dbe899d500193397d3430</t>
  </si>
  <si>
    <t>b97a8efe12debe899d50018bd1b27799</t>
  </si>
  <si>
    <t>bf3e8052084abe899d50018cd8b0b121</t>
  </si>
  <si>
    <t>c2b2a2ff168ebe899d500193619563f9</t>
  </si>
  <si>
    <t>c310cff80ccbbe899d50018ab082affb</t>
  </si>
  <si>
    <t>c55c20e237e7be899d500189968913f6</t>
  </si>
  <si>
    <t>c7b69ab214d0be899d50018fa9f41d64</t>
  </si>
  <si>
    <t>c85bc2fc6fcbbe899d500195a6f146ef</t>
  </si>
  <si>
    <t>c922de8423a6be899d50018e40293796</t>
  </si>
  <si>
    <t>c9b98dfc230dbe899d50019342727337</t>
  </si>
  <si>
    <t>cfee02f96fcbbe899d5001960e6388ab</t>
  </si>
  <si>
    <t>d46ffefe12debe899d50018b89a50cfc</t>
  </si>
  <si>
    <t>d59b6aff4e44be899d500189e7bdfbb3</t>
  </si>
  <si>
    <t>dbad37fb7a13be899d50019474c1e36c</t>
  </si>
  <si>
    <t>dc7651e63f13be899d500189b542c64f</t>
  </si>
  <si>
    <t>e0bb18766334be899d50018ebb9dac39</t>
  </si>
  <si>
    <t>e4ed3ef951fcbe899d5001902e6fb895</t>
  </si>
  <si>
    <t>eb1017fc4703be899d50018d54564820</t>
  </si>
  <si>
    <t>ecf7d1fa0b6dbe899d50019266c5b38b</t>
  </si>
  <si>
    <t>f0133df812debe899d50018bd1c4c536</t>
  </si>
  <si>
    <t>f1f2b4b349d9be899d500193f6e24ca4</t>
  </si>
  <si>
    <t>f2d114fc12debe899d50018bc71c88e5</t>
  </si>
  <si>
    <t>fa60de00617bbe899d50019193441e2e</t>
  </si>
  <si>
    <t>fa7874a56fcbbe899d500196377956ea</t>
  </si>
  <si>
    <t>fd6b6ffd617bbe899d5001919dfd347a</t>
  </si>
  <si>
    <t>ff96bcfc169ebe899d50018e98b01664</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</si>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</sst>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amily val="2"/>
    </font>
    <font>
      <b/>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22" fontId="0" fillId="0" borderId="0" xfId="0" applyNumberFormat="1"/>
    <xf numFmtId="0" fontId="1" fillId="0" borderId="2" xfId="0" applyFont="1" applyBorder="1" applyAlignment="1">
      <alignment horizontal="center" vertical="top"/>
    </xf>
    <xf numFmtId="0" fontId="2" fillId="0" borderId="0" xfId="0" applyFont="1"/>
    <xf numFmtId="0" fontId="2" fillId="0" borderId="3" xfId="0" applyFont="1" applyBorder="1"/>
    <xf numFmtId="0" fontId="3" fillId="0" borderId="1" xfId="0" applyFont="1" applyBorder="1" applyAlignment="1">
      <alignment horizontal="center" vertical="top"/>
    </xf>
    <xf numFmtId="14" fontId="0" fillId="0" borderId="0" xfId="0" applyNumberFormat="1"/>
    <xf numFmtId="14" fontId="2" fillId="0" borderId="0" xfId="0" applyNumberFormat="1" applyFont="1"/>
    <xf numFmtId="11" fontId="0" fillId="0" borderId="0" xfId="0" applyNumberFormat="1"/>
    <xf numFmtId="3" fontId="0" fillId="0" borderId="0" xfId="0" applyNumberFormat="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9"/>
  <sheetViews>
    <sheetView tabSelected="1" topLeftCell="AA1" workbookViewId="0">
      <selection activeCell="AJ3" sqref="AJ3"/>
    </sheetView>
  </sheetViews>
  <sheetFormatPr defaultRowHeight="14.4" x14ac:dyDescent="0.3"/>
  <cols>
    <col min="1" max="1" width="4" bestFit="1" customWidth="1"/>
    <col min="2" max="2" width="33.6640625" bestFit="1" customWidth="1"/>
    <col min="3" max="3" width="12.33203125" bestFit="1" customWidth="1"/>
    <col min="4" max="4" width="20.109375" bestFit="1" customWidth="1"/>
    <col min="5" max="5" width="18.109375" bestFit="1" customWidth="1"/>
    <col min="6" max="6" width="19.88671875" bestFit="1" customWidth="1"/>
    <col min="7" max="7" width="57" bestFit="1" customWidth="1"/>
    <col min="8" max="8" width="255.77734375" bestFit="1" customWidth="1"/>
    <col min="9" max="9" width="6.77734375" bestFit="1" customWidth="1"/>
    <col min="10" max="10" width="14.6640625" bestFit="1" customWidth="1"/>
    <col min="11" max="11" width="14.6640625" customWidth="1"/>
    <col min="12" max="12" width="12.88671875" bestFit="1" customWidth="1"/>
    <col min="13" max="15" width="15" bestFit="1" customWidth="1"/>
    <col min="16" max="16" width="22.44140625" bestFit="1" customWidth="1"/>
    <col min="17" max="17" width="11.88671875" bestFit="1" customWidth="1"/>
    <col min="18" max="18" width="18.109375" bestFit="1" customWidth="1"/>
    <col min="19" max="19" width="4" bestFit="1" customWidth="1"/>
    <col min="20" max="20" width="19.109375" bestFit="1" customWidth="1"/>
    <col min="21" max="21" width="21.109375" bestFit="1" customWidth="1"/>
    <col min="22" max="22" width="27.21875" bestFit="1" customWidth="1"/>
    <col min="23" max="23" width="69.77734375" customWidth="1"/>
    <col min="24" max="24" width="26.88671875" bestFit="1" customWidth="1"/>
    <col min="25" max="25" width="14.21875" bestFit="1" customWidth="1"/>
    <col min="26" max="26" width="15.21875" bestFit="1" customWidth="1"/>
    <col min="27" max="27" width="33.6640625" bestFit="1" customWidth="1"/>
    <col min="28" max="28" width="14.44140625" bestFit="1" customWidth="1"/>
    <col min="29" max="29" width="20.109375" bestFit="1" customWidth="1"/>
    <col min="30" max="30" width="16.88671875" bestFit="1" customWidth="1"/>
    <col min="31" max="31" width="33.6640625" bestFit="1" customWidth="1"/>
    <col min="32" max="32" width="21.77734375" bestFit="1" customWidth="1"/>
    <col min="33" max="33" width="16" bestFit="1" customWidth="1"/>
  </cols>
  <sheetData>
    <row r="1" spans="1:34" x14ac:dyDescent="0.3">
      <c r="B1" s="1" t="s">
        <v>0</v>
      </c>
      <c r="C1" s="1" t="s">
        <v>1</v>
      </c>
      <c r="D1" s="1" t="s">
        <v>2</v>
      </c>
      <c r="E1" s="1" t="s">
        <v>3</v>
      </c>
      <c r="F1" s="1" t="s">
        <v>4</v>
      </c>
      <c r="G1" s="1" t="s">
        <v>5</v>
      </c>
      <c r="H1" s="1" t="s">
        <v>6</v>
      </c>
      <c r="I1" s="1" t="s">
        <v>7</v>
      </c>
      <c r="J1" s="5" t="s">
        <v>8</v>
      </c>
      <c r="K1" s="4" t="s">
        <v>442</v>
      </c>
      <c r="L1" s="1" t="s">
        <v>9</v>
      </c>
      <c r="M1" s="1" t="s">
        <v>10</v>
      </c>
      <c r="N1" s="1" t="s">
        <v>11</v>
      </c>
      <c r="O1" s="1" t="s">
        <v>12</v>
      </c>
      <c r="P1" s="1" t="s">
        <v>13</v>
      </c>
      <c r="Q1" s="1" t="s">
        <v>14</v>
      </c>
      <c r="R1" s="1" t="s">
        <v>15</v>
      </c>
      <c r="S1" s="1" t="s">
        <v>16</v>
      </c>
      <c r="T1" s="1" t="s">
        <v>17</v>
      </c>
      <c r="U1" s="1" t="s">
        <v>18</v>
      </c>
      <c r="V1" s="1" t="s">
        <v>19</v>
      </c>
      <c r="W1" s="6" t="s">
        <v>20</v>
      </c>
      <c r="X1" s="1" t="s">
        <v>21</v>
      </c>
      <c r="Y1" s="1" t="s">
        <v>22</v>
      </c>
      <c r="Z1" s="1" t="s">
        <v>23</v>
      </c>
      <c r="AA1" s="1" t="s">
        <v>536</v>
      </c>
      <c r="AB1" s="1" t="s">
        <v>615</v>
      </c>
      <c r="AC1" s="5" t="s">
        <v>616</v>
      </c>
      <c r="AD1" s="4" t="s">
        <v>617</v>
      </c>
      <c r="AE1" s="7" t="s">
        <v>696</v>
      </c>
      <c r="AF1" s="1" t="s">
        <v>698</v>
      </c>
      <c r="AG1" s="5" t="s">
        <v>697</v>
      </c>
      <c r="AH1" s="12" t="s">
        <v>776</v>
      </c>
    </row>
    <row r="2" spans="1:34" x14ac:dyDescent="0.3">
      <c r="A2" s="1">
        <v>0</v>
      </c>
      <c r="B2" t="s">
        <v>24</v>
      </c>
      <c r="C2">
        <v>809700</v>
      </c>
      <c r="D2">
        <v>251760</v>
      </c>
      <c r="E2" s="2">
        <v>45932</v>
      </c>
      <c r="G2" t="s">
        <v>25</v>
      </c>
      <c r="H2" t="s">
        <v>26</v>
      </c>
      <c r="I2" t="s">
        <v>27</v>
      </c>
      <c r="J2" s="3">
        <v>45932.659722222219</v>
      </c>
      <c r="K2">
        <f t="shared" ref="K2:K33" si="0">MONTH(J2)</f>
        <v>10</v>
      </c>
      <c r="L2">
        <v>2025</v>
      </c>
      <c r="M2">
        <v>2025</v>
      </c>
      <c r="N2">
        <v>2025</v>
      </c>
      <c r="O2">
        <v>2025</v>
      </c>
      <c r="P2" t="s">
        <v>28</v>
      </c>
      <c r="Q2" t="s">
        <v>29</v>
      </c>
      <c r="R2" s="2">
        <v>45410</v>
      </c>
      <c r="S2">
        <v>1</v>
      </c>
      <c r="T2" t="s">
        <v>30</v>
      </c>
      <c r="U2" t="s">
        <v>31</v>
      </c>
      <c r="V2" t="s">
        <v>32</v>
      </c>
      <c r="W2" t="s">
        <v>443</v>
      </c>
      <c r="X2" t="s">
        <v>42</v>
      </c>
      <c r="Y2" t="s">
        <v>34</v>
      </c>
      <c r="Z2" t="str">
        <f t="shared" ref="Z2:Z33" si="1">IF(S2&lt;=6,"0-6",
IF(S2&lt;=17,"7-17",
IF(S2&lt;=35,"18-35",
IF(S2&lt;=55,"36-55",
"56+"))))</f>
        <v>0-6</v>
      </c>
      <c r="AA2" t="s">
        <v>537</v>
      </c>
      <c r="AB2">
        <v>79</v>
      </c>
      <c r="AC2" t="str" cm="1">
        <f t="array" ref="AC2">_xlfn.SWITCH(AB2,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2" t="str">
        <f>ROUND((D2/C2)*100, 2) &amp; "%"</f>
        <v>31.09%</v>
      </c>
      <c r="AE2" t="s">
        <v>618</v>
      </c>
      <c r="AF2" s="8">
        <f>INT(E2)</f>
        <v>45932</v>
      </c>
      <c r="AG2" s="8">
        <f>_xlfn.XLOOKUP(AE2, Dev!$A:$A, Dev!$B:$B, "")</f>
        <v>45875.575844907406</v>
      </c>
      <c r="AH2" s="11">
        <f>AF2-AG2</f>
        <v>56.424155092594447</v>
      </c>
    </row>
    <row r="3" spans="1:34" x14ac:dyDescent="0.3">
      <c r="A3" s="1">
        <v>1</v>
      </c>
      <c r="B3" t="s">
        <v>35</v>
      </c>
      <c r="C3">
        <v>2612361</v>
      </c>
      <c r="D3">
        <v>640000</v>
      </c>
      <c r="E3" s="2">
        <v>45922</v>
      </c>
      <c r="G3" t="s">
        <v>25</v>
      </c>
      <c r="H3" t="s">
        <v>36</v>
      </c>
      <c r="I3" t="s">
        <v>27</v>
      </c>
      <c r="J3" s="3">
        <v>45931.79583333333</v>
      </c>
      <c r="K3">
        <f t="shared" si="0"/>
        <v>10</v>
      </c>
      <c r="L3">
        <v>2025</v>
      </c>
      <c r="M3">
        <v>2025</v>
      </c>
      <c r="N3">
        <v>2025</v>
      </c>
      <c r="O3">
        <v>2025</v>
      </c>
      <c r="P3" t="s">
        <v>28</v>
      </c>
      <c r="Q3" t="s">
        <v>29</v>
      </c>
      <c r="R3" s="2">
        <v>45644</v>
      </c>
      <c r="S3">
        <v>0</v>
      </c>
      <c r="T3" t="s">
        <v>30</v>
      </c>
      <c r="U3" t="s">
        <v>31</v>
      </c>
      <c r="V3" t="s">
        <v>32</v>
      </c>
      <c r="W3" t="s">
        <v>444</v>
      </c>
      <c r="X3" t="s">
        <v>37</v>
      </c>
      <c r="Y3" t="s">
        <v>34</v>
      </c>
      <c r="Z3" t="str">
        <f t="shared" si="1"/>
        <v>0-6</v>
      </c>
      <c r="AA3" t="s">
        <v>538</v>
      </c>
      <c r="AB3">
        <v>79</v>
      </c>
      <c r="AC3" t="str" cm="1">
        <f t="array" ref="AC3">_xlfn.SWITCH(AB3,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 t="str">
        <f t="shared" ref="AD3:AD66" si="2">ROUND((D3/C3)*100, 2) &amp; "%"</f>
        <v>24.5%</v>
      </c>
      <c r="AE3" t="s">
        <v>619</v>
      </c>
      <c r="AF3" s="8">
        <f t="shared" ref="AF3:AF66" si="3">INT(E3)</f>
        <v>45922</v>
      </c>
      <c r="AG3" s="8">
        <f>_xlfn.XLOOKUP(AE3, Dev!$A:$A, Dev!$B:$B, "")</f>
        <v>45674</v>
      </c>
      <c r="AH3" s="11">
        <f t="shared" ref="AH3:AH66" si="4">AF3-AG3</f>
        <v>248</v>
      </c>
    </row>
    <row r="4" spans="1:34" x14ac:dyDescent="0.3">
      <c r="A4" s="1">
        <v>2</v>
      </c>
      <c r="B4" t="s">
        <v>38</v>
      </c>
      <c r="C4">
        <v>346000</v>
      </c>
      <c r="D4">
        <v>346000</v>
      </c>
      <c r="E4" s="2">
        <v>45925</v>
      </c>
      <c r="F4" s="2">
        <v>45926</v>
      </c>
      <c r="G4" t="s">
        <v>39</v>
      </c>
      <c r="H4" t="s">
        <v>40</v>
      </c>
      <c r="I4" t="s">
        <v>27</v>
      </c>
      <c r="J4" s="3">
        <v>45930.406944444447</v>
      </c>
      <c r="K4">
        <f t="shared" si="0"/>
        <v>9</v>
      </c>
      <c r="L4">
        <v>2025</v>
      </c>
      <c r="M4">
        <v>2025</v>
      </c>
      <c r="N4">
        <v>2025</v>
      </c>
      <c r="O4">
        <v>2025</v>
      </c>
      <c r="P4" t="s">
        <v>28</v>
      </c>
      <c r="Q4" t="s">
        <v>29</v>
      </c>
      <c r="R4" s="2">
        <v>45747</v>
      </c>
      <c r="S4">
        <v>0</v>
      </c>
      <c r="T4" t="s">
        <v>30</v>
      </c>
      <c r="U4" t="s">
        <v>41</v>
      </c>
      <c r="V4" t="s">
        <v>32</v>
      </c>
      <c r="W4" t="s">
        <v>40</v>
      </c>
      <c r="X4" t="s">
        <v>33</v>
      </c>
      <c r="Y4" t="s">
        <v>34</v>
      </c>
      <c r="Z4" t="str">
        <f t="shared" si="1"/>
        <v>0-6</v>
      </c>
      <c r="AA4" t="s">
        <v>539</v>
      </c>
      <c r="AB4">
        <v>1</v>
      </c>
      <c r="AC4" t="str" cm="1">
        <f t="array" ref="AC4">_xlfn.SWITCH(AB4,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 t="str">
        <f t="shared" si="2"/>
        <v>100%</v>
      </c>
      <c r="AE4" t="s">
        <v>620</v>
      </c>
      <c r="AF4" s="8">
        <f t="shared" si="3"/>
        <v>45925</v>
      </c>
      <c r="AG4" s="8">
        <f>_xlfn.XLOOKUP(AE4, Dev!$A:$A, Dev!$B:$B, "")</f>
        <v>45818.674259259256</v>
      </c>
      <c r="AH4" s="11">
        <f t="shared" si="4"/>
        <v>106.32574074074364</v>
      </c>
    </row>
    <row r="5" spans="1:34" x14ac:dyDescent="0.3">
      <c r="A5" s="1">
        <v>3</v>
      </c>
      <c r="B5" t="s">
        <v>43</v>
      </c>
      <c r="C5">
        <v>1333550</v>
      </c>
      <c r="D5">
        <v>568550</v>
      </c>
      <c r="E5" s="2">
        <v>45922</v>
      </c>
      <c r="F5" s="2">
        <v>45922</v>
      </c>
      <c r="G5" t="s">
        <v>39</v>
      </c>
      <c r="H5" t="s">
        <v>44</v>
      </c>
      <c r="I5" t="s">
        <v>27</v>
      </c>
      <c r="J5" s="3">
        <v>45930.402777777781</v>
      </c>
      <c r="K5">
        <f t="shared" si="0"/>
        <v>9</v>
      </c>
      <c r="L5">
        <v>2025</v>
      </c>
      <c r="M5">
        <v>2025</v>
      </c>
      <c r="N5">
        <v>2025</v>
      </c>
      <c r="O5">
        <v>2025</v>
      </c>
      <c r="P5" t="s">
        <v>28</v>
      </c>
      <c r="Q5" t="s">
        <v>29</v>
      </c>
      <c r="R5" s="2">
        <v>45747</v>
      </c>
      <c r="S5">
        <v>0</v>
      </c>
      <c r="T5" t="s">
        <v>30</v>
      </c>
      <c r="U5" t="s">
        <v>41</v>
      </c>
      <c r="V5" t="s">
        <v>32</v>
      </c>
      <c r="W5" t="s">
        <v>44</v>
      </c>
      <c r="X5" t="s">
        <v>33</v>
      </c>
      <c r="Y5" t="s">
        <v>34</v>
      </c>
      <c r="Z5" t="str">
        <f t="shared" si="1"/>
        <v>0-6</v>
      </c>
      <c r="AA5" t="s">
        <v>539</v>
      </c>
      <c r="AB5">
        <v>1</v>
      </c>
      <c r="AC5" t="str" cm="1">
        <f t="array" ref="AC5">_xlfn.SWITCH(AB5,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5" t="str">
        <f t="shared" si="2"/>
        <v>42.63%</v>
      </c>
      <c r="AE5" t="s">
        <v>620</v>
      </c>
      <c r="AF5" s="8">
        <f t="shared" si="3"/>
        <v>45922</v>
      </c>
      <c r="AG5" s="8">
        <f>_xlfn.XLOOKUP(AE5, Dev!$A:$A, Dev!$B:$B, "")</f>
        <v>45818.674259259256</v>
      </c>
      <c r="AH5" s="11">
        <f t="shared" si="4"/>
        <v>103.32574074074364</v>
      </c>
    </row>
    <row r="6" spans="1:34" x14ac:dyDescent="0.3">
      <c r="A6" s="1">
        <v>4</v>
      </c>
      <c r="B6" t="s">
        <v>45</v>
      </c>
      <c r="C6">
        <v>1559900</v>
      </c>
      <c r="D6">
        <v>105600</v>
      </c>
      <c r="E6" s="2">
        <v>45923</v>
      </c>
      <c r="F6" s="2">
        <v>45925</v>
      </c>
      <c r="G6" t="s">
        <v>46</v>
      </c>
      <c r="H6" t="s">
        <v>47</v>
      </c>
      <c r="I6" t="s">
        <v>27</v>
      </c>
      <c r="J6" s="3">
        <v>45926.936111111114</v>
      </c>
      <c r="K6">
        <f t="shared" si="0"/>
        <v>9</v>
      </c>
      <c r="L6">
        <v>2025</v>
      </c>
      <c r="M6">
        <v>2025</v>
      </c>
      <c r="N6">
        <v>2025</v>
      </c>
      <c r="O6">
        <v>2025</v>
      </c>
      <c r="P6" t="s">
        <v>28</v>
      </c>
      <c r="Q6" t="s">
        <v>29</v>
      </c>
      <c r="R6" s="2">
        <v>45283</v>
      </c>
      <c r="S6">
        <v>1</v>
      </c>
      <c r="T6" t="s">
        <v>30</v>
      </c>
      <c r="U6" t="s">
        <v>41</v>
      </c>
      <c r="V6" t="s">
        <v>32</v>
      </c>
      <c r="W6" t="s">
        <v>445</v>
      </c>
      <c r="X6" t="s">
        <v>37</v>
      </c>
      <c r="Y6" t="s">
        <v>34</v>
      </c>
      <c r="Z6" t="str">
        <f t="shared" si="1"/>
        <v>0-6</v>
      </c>
      <c r="AA6" t="s">
        <v>540</v>
      </c>
      <c r="AB6">
        <v>35</v>
      </c>
      <c r="AC6" t="str" cm="1">
        <f t="array" ref="AC6">_xlfn.SWITCH(AB6,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Hà Nam</v>
      </c>
      <c r="AD6" t="str">
        <f t="shared" si="2"/>
        <v>6.77%</v>
      </c>
      <c r="AE6" t="s">
        <v>621</v>
      </c>
      <c r="AF6" s="8">
        <f t="shared" si="3"/>
        <v>45923</v>
      </c>
      <c r="AG6" s="8">
        <f>_xlfn.XLOOKUP(AE6, Dev!$A:$A, Dev!$B:$B, "")</f>
        <v>45723.677615740744</v>
      </c>
      <c r="AH6" s="11">
        <f t="shared" si="4"/>
        <v>199.32238425925607</v>
      </c>
    </row>
    <row r="7" spans="1:34" x14ac:dyDescent="0.3">
      <c r="A7" s="1">
        <v>5</v>
      </c>
      <c r="B7" t="s">
        <v>48</v>
      </c>
      <c r="C7">
        <v>1300000</v>
      </c>
      <c r="D7">
        <v>800000</v>
      </c>
      <c r="E7" s="2">
        <v>45921</v>
      </c>
      <c r="F7" s="2">
        <v>45921</v>
      </c>
      <c r="G7" t="s">
        <v>46</v>
      </c>
      <c r="H7" t="s">
        <v>49</v>
      </c>
      <c r="I7" t="s">
        <v>27</v>
      </c>
      <c r="J7" s="3">
        <v>45926.929166666669</v>
      </c>
      <c r="K7">
        <f t="shared" si="0"/>
        <v>9</v>
      </c>
      <c r="L7">
        <v>2025</v>
      </c>
      <c r="M7">
        <v>2025</v>
      </c>
      <c r="N7">
        <v>2025</v>
      </c>
      <c r="O7">
        <v>2025</v>
      </c>
      <c r="P7" t="s">
        <v>28</v>
      </c>
      <c r="Q7" t="s">
        <v>29</v>
      </c>
      <c r="R7" s="2">
        <v>45283</v>
      </c>
      <c r="S7">
        <v>1</v>
      </c>
      <c r="T7" t="s">
        <v>30</v>
      </c>
      <c r="U7" t="s">
        <v>41</v>
      </c>
      <c r="V7" t="s">
        <v>32</v>
      </c>
      <c r="W7" t="s">
        <v>49</v>
      </c>
      <c r="X7" t="s">
        <v>42</v>
      </c>
      <c r="Y7" t="s">
        <v>34</v>
      </c>
      <c r="Z7" t="str">
        <f t="shared" si="1"/>
        <v>0-6</v>
      </c>
      <c r="AA7" t="s">
        <v>540</v>
      </c>
      <c r="AB7">
        <v>35</v>
      </c>
      <c r="AC7" t="str" cm="1">
        <f t="array" ref="AC7">_xlfn.SWITCH(AB7,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Hà Nam</v>
      </c>
      <c r="AD7" t="str">
        <f t="shared" si="2"/>
        <v>61.54%</v>
      </c>
      <c r="AE7" t="s">
        <v>621</v>
      </c>
      <c r="AF7" s="8">
        <f t="shared" si="3"/>
        <v>45921</v>
      </c>
      <c r="AG7" s="8">
        <f>_xlfn.XLOOKUP(AE7, Dev!$A:$A, Dev!$B:$B, "")</f>
        <v>45723.677615740744</v>
      </c>
      <c r="AH7" s="11">
        <f t="shared" si="4"/>
        <v>197.32238425925607</v>
      </c>
    </row>
    <row r="8" spans="1:34" x14ac:dyDescent="0.3">
      <c r="A8" s="1">
        <v>6</v>
      </c>
      <c r="B8" t="s">
        <v>50</v>
      </c>
      <c r="C8">
        <v>363290</v>
      </c>
      <c r="D8">
        <v>363290</v>
      </c>
      <c r="E8" s="2">
        <v>45925</v>
      </c>
      <c r="F8" s="2">
        <v>45925</v>
      </c>
      <c r="G8" t="s">
        <v>51</v>
      </c>
      <c r="H8" t="s">
        <v>52</v>
      </c>
      <c r="I8" t="s">
        <v>27</v>
      </c>
      <c r="J8" s="3">
        <v>45926.57916666667</v>
      </c>
      <c r="K8">
        <f t="shared" si="0"/>
        <v>9</v>
      </c>
      <c r="L8">
        <v>2025</v>
      </c>
      <c r="M8">
        <v>2025</v>
      </c>
      <c r="N8">
        <v>2025</v>
      </c>
      <c r="O8">
        <v>2025</v>
      </c>
      <c r="P8" t="s">
        <v>28</v>
      </c>
      <c r="Q8" t="s">
        <v>29</v>
      </c>
      <c r="R8" s="2">
        <v>44269</v>
      </c>
      <c r="S8">
        <v>4</v>
      </c>
      <c r="T8" t="s">
        <v>30</v>
      </c>
      <c r="U8" t="s">
        <v>41</v>
      </c>
      <c r="V8" t="s">
        <v>32</v>
      </c>
      <c r="W8" t="s">
        <v>446</v>
      </c>
      <c r="X8" t="s">
        <v>37</v>
      </c>
      <c r="Y8" t="s">
        <v>34</v>
      </c>
      <c r="Z8" t="str">
        <f t="shared" si="1"/>
        <v>0-6</v>
      </c>
      <c r="AA8" t="s">
        <v>541</v>
      </c>
      <c r="AB8">
        <v>79</v>
      </c>
      <c r="AC8" t="str" cm="1">
        <f t="array" ref="AC8">_xlfn.SWITCH(AB8,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8" t="str">
        <f t="shared" si="2"/>
        <v>100%</v>
      </c>
      <c r="AE8" t="s">
        <v>622</v>
      </c>
      <c r="AF8" s="8">
        <f t="shared" si="3"/>
        <v>45925</v>
      </c>
      <c r="AG8" s="8">
        <f>_xlfn.XLOOKUP(AE8, Dev!$A:$A, Dev!$B:$B, "")</f>
        <v>45689</v>
      </c>
      <c r="AH8" s="11">
        <f t="shared" si="4"/>
        <v>236</v>
      </c>
    </row>
    <row r="9" spans="1:34" x14ac:dyDescent="0.3">
      <c r="A9" s="1">
        <v>7</v>
      </c>
      <c r="B9" t="s">
        <v>53</v>
      </c>
      <c r="C9">
        <v>640000</v>
      </c>
      <c r="D9">
        <v>640000</v>
      </c>
      <c r="E9" s="2">
        <v>45897</v>
      </c>
      <c r="F9" s="2">
        <v>45905</v>
      </c>
      <c r="G9" t="s">
        <v>54</v>
      </c>
      <c r="H9" t="s">
        <v>55</v>
      </c>
      <c r="I9" t="s">
        <v>27</v>
      </c>
      <c r="J9" s="3">
        <v>45926.498611111114</v>
      </c>
      <c r="K9">
        <f t="shared" si="0"/>
        <v>9</v>
      </c>
      <c r="L9">
        <v>2025</v>
      </c>
      <c r="M9">
        <v>2025</v>
      </c>
      <c r="N9">
        <v>2025</v>
      </c>
      <c r="O9">
        <v>2025</v>
      </c>
      <c r="P9" t="s">
        <v>28</v>
      </c>
      <c r="Q9" t="s">
        <v>29</v>
      </c>
      <c r="R9" s="2">
        <v>45573</v>
      </c>
      <c r="S9">
        <v>1</v>
      </c>
      <c r="T9" t="s">
        <v>30</v>
      </c>
      <c r="U9" t="s">
        <v>41</v>
      </c>
      <c r="V9" t="s">
        <v>56</v>
      </c>
      <c r="W9" t="s">
        <v>447</v>
      </c>
      <c r="X9" t="s">
        <v>33</v>
      </c>
      <c r="Y9" t="s">
        <v>34</v>
      </c>
      <c r="Z9" t="str">
        <f t="shared" si="1"/>
        <v>0-6</v>
      </c>
      <c r="AA9" t="s">
        <v>542</v>
      </c>
      <c r="AB9">
        <v>1</v>
      </c>
      <c r="AC9" t="str" cm="1">
        <f t="array" ref="AC9">_xlfn.SWITCH(AB9,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9" t="str">
        <f t="shared" si="2"/>
        <v>100%</v>
      </c>
      <c r="AE9" t="s">
        <v>623</v>
      </c>
      <c r="AF9" s="8">
        <f t="shared" si="3"/>
        <v>45897</v>
      </c>
      <c r="AG9" s="8">
        <f>_xlfn.XLOOKUP(AE9, Dev!$A:$A, Dev!$B:$B, "")</f>
        <v>45797.886423611111</v>
      </c>
      <c r="AH9" s="11">
        <f t="shared" si="4"/>
        <v>99.11357638888876</v>
      </c>
    </row>
    <row r="10" spans="1:34" x14ac:dyDescent="0.3">
      <c r="A10" s="1">
        <v>8</v>
      </c>
      <c r="B10" t="s">
        <v>57</v>
      </c>
      <c r="C10">
        <v>481500</v>
      </c>
      <c r="D10">
        <v>365200</v>
      </c>
      <c r="E10" s="2">
        <v>45887</v>
      </c>
      <c r="F10" s="2">
        <v>45887</v>
      </c>
      <c r="G10" t="s">
        <v>58</v>
      </c>
      <c r="H10" t="s">
        <v>59</v>
      </c>
      <c r="I10" t="s">
        <v>27</v>
      </c>
      <c r="J10" s="3">
        <v>45926.42083333333</v>
      </c>
      <c r="K10">
        <f t="shared" si="0"/>
        <v>9</v>
      </c>
      <c r="L10">
        <v>2025</v>
      </c>
      <c r="M10">
        <v>2025</v>
      </c>
      <c r="N10">
        <v>2025</v>
      </c>
      <c r="O10">
        <v>2025</v>
      </c>
      <c r="P10" t="s">
        <v>28</v>
      </c>
      <c r="Q10" t="s">
        <v>29</v>
      </c>
      <c r="R10" s="2">
        <v>44507</v>
      </c>
      <c r="S10">
        <v>3</v>
      </c>
      <c r="T10" t="s">
        <v>30</v>
      </c>
      <c r="U10" t="s">
        <v>41</v>
      </c>
      <c r="V10" t="s">
        <v>32</v>
      </c>
      <c r="W10" t="s">
        <v>448</v>
      </c>
      <c r="X10" t="s">
        <v>33</v>
      </c>
      <c r="Y10" t="s">
        <v>34</v>
      </c>
      <c r="Z10" t="str">
        <f t="shared" si="1"/>
        <v>0-6</v>
      </c>
      <c r="AA10" t="s">
        <v>543</v>
      </c>
      <c r="AB10">
        <v>79</v>
      </c>
      <c r="AC10" t="str" cm="1">
        <f t="array" ref="AC10">_xlfn.SWITCH(AB10,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0" t="str">
        <f t="shared" si="2"/>
        <v>75.85%</v>
      </c>
      <c r="AE10" t="s">
        <v>624</v>
      </c>
      <c r="AF10" s="8">
        <f t="shared" si="3"/>
        <v>45887</v>
      </c>
      <c r="AG10" s="8">
        <f>_xlfn.XLOOKUP(AE10, Dev!$A:$A, Dev!$B:$B, "")</f>
        <v>45618.507708333331</v>
      </c>
      <c r="AH10" s="11">
        <f t="shared" si="4"/>
        <v>268.49229166666919</v>
      </c>
    </row>
    <row r="11" spans="1:34" x14ac:dyDescent="0.3">
      <c r="A11" s="1">
        <v>9</v>
      </c>
      <c r="B11" t="s">
        <v>60</v>
      </c>
      <c r="C11">
        <v>534650</v>
      </c>
      <c r="D11">
        <v>384650</v>
      </c>
      <c r="E11" s="2">
        <v>45923</v>
      </c>
      <c r="F11" s="2">
        <v>45923</v>
      </c>
      <c r="G11" t="s">
        <v>51</v>
      </c>
      <c r="H11" t="s">
        <v>61</v>
      </c>
      <c r="I11" t="s">
        <v>27</v>
      </c>
      <c r="J11" s="3">
        <v>45925.540972222225</v>
      </c>
      <c r="K11">
        <f t="shared" si="0"/>
        <v>9</v>
      </c>
      <c r="L11">
        <v>2025</v>
      </c>
      <c r="M11">
        <v>2025</v>
      </c>
      <c r="N11">
        <v>2025</v>
      </c>
      <c r="O11">
        <v>2025</v>
      </c>
      <c r="P11" t="s">
        <v>28</v>
      </c>
      <c r="Q11" t="s">
        <v>29</v>
      </c>
      <c r="R11" s="2">
        <v>44269</v>
      </c>
      <c r="S11">
        <v>4</v>
      </c>
      <c r="T11" t="s">
        <v>30</v>
      </c>
      <c r="U11" t="s">
        <v>41</v>
      </c>
      <c r="V11" t="s">
        <v>32</v>
      </c>
      <c r="W11" t="s">
        <v>449</v>
      </c>
      <c r="X11" t="s">
        <v>37</v>
      </c>
      <c r="Y11" t="s">
        <v>34</v>
      </c>
      <c r="Z11" t="str">
        <f t="shared" si="1"/>
        <v>0-6</v>
      </c>
      <c r="AA11" t="s">
        <v>541</v>
      </c>
      <c r="AB11">
        <v>79</v>
      </c>
      <c r="AC11" t="str" cm="1">
        <f t="array" ref="AC11">_xlfn.SWITCH(AB11,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1" t="str">
        <f t="shared" si="2"/>
        <v>71.94%</v>
      </c>
      <c r="AE11" t="s">
        <v>622</v>
      </c>
      <c r="AF11" s="8">
        <f t="shared" si="3"/>
        <v>45923</v>
      </c>
      <c r="AG11" s="8">
        <f>_xlfn.XLOOKUP(AE11, Dev!$A:$A, Dev!$B:$B, "")</f>
        <v>45689</v>
      </c>
      <c r="AH11" s="11">
        <f t="shared" si="4"/>
        <v>234</v>
      </c>
    </row>
    <row r="12" spans="1:34" x14ac:dyDescent="0.3">
      <c r="A12" s="1">
        <v>10</v>
      </c>
      <c r="B12" t="s">
        <v>62</v>
      </c>
      <c r="C12">
        <v>307244</v>
      </c>
      <c r="D12">
        <v>300424</v>
      </c>
      <c r="E12" s="2">
        <v>45921</v>
      </c>
      <c r="F12" s="2">
        <v>45921</v>
      </c>
      <c r="G12" t="s">
        <v>51</v>
      </c>
      <c r="H12" t="s">
        <v>63</v>
      </c>
      <c r="I12" t="s">
        <v>27</v>
      </c>
      <c r="J12" s="3">
        <v>45925.537499999999</v>
      </c>
      <c r="K12">
        <f t="shared" si="0"/>
        <v>9</v>
      </c>
      <c r="L12">
        <v>2025</v>
      </c>
      <c r="M12">
        <v>2025</v>
      </c>
      <c r="N12">
        <v>2025</v>
      </c>
      <c r="O12">
        <v>2025</v>
      </c>
      <c r="P12" t="s">
        <v>28</v>
      </c>
      <c r="Q12" t="s">
        <v>29</v>
      </c>
      <c r="R12" s="2">
        <v>44269</v>
      </c>
      <c r="S12">
        <v>4</v>
      </c>
      <c r="T12" t="s">
        <v>30</v>
      </c>
      <c r="U12" t="s">
        <v>41</v>
      </c>
      <c r="V12" t="s">
        <v>32</v>
      </c>
      <c r="W12" t="s">
        <v>63</v>
      </c>
      <c r="X12" t="s">
        <v>42</v>
      </c>
      <c r="Y12" t="s">
        <v>34</v>
      </c>
      <c r="Z12" t="str">
        <f t="shared" si="1"/>
        <v>0-6</v>
      </c>
      <c r="AA12" t="s">
        <v>541</v>
      </c>
      <c r="AB12">
        <v>79</v>
      </c>
      <c r="AC12" t="str" cm="1">
        <f t="array" ref="AC12">_xlfn.SWITCH(AB12,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 t="str">
        <f t="shared" si="2"/>
        <v>97.78%</v>
      </c>
      <c r="AE12" t="s">
        <v>622</v>
      </c>
      <c r="AF12" s="8">
        <f t="shared" si="3"/>
        <v>45921</v>
      </c>
      <c r="AG12" s="8">
        <f>_xlfn.XLOOKUP(AE12, Dev!$A:$A, Dev!$B:$B, "")</f>
        <v>45689</v>
      </c>
      <c r="AH12" s="11">
        <f t="shared" si="4"/>
        <v>232</v>
      </c>
    </row>
    <row r="13" spans="1:34" x14ac:dyDescent="0.3">
      <c r="A13" s="1">
        <v>11</v>
      </c>
      <c r="B13" t="s">
        <v>64</v>
      </c>
      <c r="C13">
        <v>387472</v>
      </c>
      <c r="D13">
        <v>387472</v>
      </c>
      <c r="E13" s="2">
        <v>45919</v>
      </c>
      <c r="F13" s="2">
        <v>45919</v>
      </c>
      <c r="G13" t="s">
        <v>51</v>
      </c>
      <c r="H13" t="s">
        <v>65</v>
      </c>
      <c r="I13" t="s">
        <v>27</v>
      </c>
      <c r="J13" s="3">
        <v>45925.534722222219</v>
      </c>
      <c r="K13">
        <f t="shared" si="0"/>
        <v>9</v>
      </c>
      <c r="L13">
        <v>2025</v>
      </c>
      <c r="M13">
        <v>2025</v>
      </c>
      <c r="N13">
        <v>2025</v>
      </c>
      <c r="O13">
        <v>2025</v>
      </c>
      <c r="P13" t="s">
        <v>28</v>
      </c>
      <c r="Q13" t="s">
        <v>29</v>
      </c>
      <c r="R13" s="2">
        <v>44269</v>
      </c>
      <c r="S13">
        <v>4</v>
      </c>
      <c r="T13" t="s">
        <v>30</v>
      </c>
      <c r="U13" t="s">
        <v>41</v>
      </c>
      <c r="V13" t="s">
        <v>32</v>
      </c>
      <c r="W13" t="s">
        <v>65</v>
      </c>
      <c r="X13" t="s">
        <v>33</v>
      </c>
      <c r="Y13" t="s">
        <v>34</v>
      </c>
      <c r="Z13" t="str">
        <f t="shared" si="1"/>
        <v>0-6</v>
      </c>
      <c r="AA13" t="s">
        <v>541</v>
      </c>
      <c r="AB13">
        <v>79</v>
      </c>
      <c r="AC13" t="str" cm="1">
        <f t="array" ref="AC13">_xlfn.SWITCH(AB13,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3" t="str">
        <f t="shared" si="2"/>
        <v>100%</v>
      </c>
      <c r="AE13" t="s">
        <v>622</v>
      </c>
      <c r="AF13" s="8">
        <f t="shared" si="3"/>
        <v>45919</v>
      </c>
      <c r="AG13" s="8">
        <f>_xlfn.XLOOKUP(AE13, Dev!$A:$A, Dev!$B:$B, "")</f>
        <v>45689</v>
      </c>
      <c r="AH13" s="11">
        <f t="shared" si="4"/>
        <v>230</v>
      </c>
    </row>
    <row r="14" spans="1:34" x14ac:dyDescent="0.3">
      <c r="A14" s="1">
        <v>12</v>
      </c>
      <c r="B14" t="s">
        <v>66</v>
      </c>
      <c r="C14">
        <v>798635</v>
      </c>
      <c r="D14">
        <v>653135</v>
      </c>
      <c r="E14" s="2">
        <v>45921</v>
      </c>
      <c r="G14" t="s">
        <v>67</v>
      </c>
      <c r="H14" t="s">
        <v>68</v>
      </c>
      <c r="I14" t="s">
        <v>27</v>
      </c>
      <c r="J14" s="3">
        <v>45923.576388888891</v>
      </c>
      <c r="K14">
        <f t="shared" si="0"/>
        <v>9</v>
      </c>
      <c r="L14">
        <v>2025</v>
      </c>
      <c r="M14">
        <v>2025</v>
      </c>
      <c r="N14">
        <v>2025</v>
      </c>
      <c r="O14">
        <v>2025</v>
      </c>
      <c r="P14" t="s">
        <v>28</v>
      </c>
      <c r="Q14" t="s">
        <v>29</v>
      </c>
      <c r="R14" s="2">
        <v>43048</v>
      </c>
      <c r="S14">
        <v>7</v>
      </c>
      <c r="T14" t="s">
        <v>30</v>
      </c>
      <c r="U14" t="s">
        <v>31</v>
      </c>
      <c r="V14" t="s">
        <v>32</v>
      </c>
      <c r="W14" t="s">
        <v>68</v>
      </c>
      <c r="X14" t="s">
        <v>33</v>
      </c>
      <c r="Y14" t="s">
        <v>34</v>
      </c>
      <c r="Z14" t="str">
        <f t="shared" si="1"/>
        <v>7-17</v>
      </c>
      <c r="AA14" t="s">
        <v>544</v>
      </c>
      <c r="AB14">
        <v>79</v>
      </c>
      <c r="AC14" t="str" cm="1">
        <f t="array" ref="AC14">_xlfn.SWITCH(AB14,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 t="str">
        <f t="shared" si="2"/>
        <v>81.78%</v>
      </c>
      <c r="AE14" t="s">
        <v>625</v>
      </c>
      <c r="AF14" s="8">
        <f t="shared" si="3"/>
        <v>45921</v>
      </c>
      <c r="AG14" s="8">
        <f>_xlfn.XLOOKUP(AE14, Dev!$A:$A, Dev!$B:$B, "")</f>
        <v>45631</v>
      </c>
      <c r="AH14" s="11">
        <f t="shared" si="4"/>
        <v>290</v>
      </c>
    </row>
    <row r="15" spans="1:34" x14ac:dyDescent="0.3">
      <c r="A15" s="1">
        <v>13</v>
      </c>
      <c r="B15" t="s">
        <v>69</v>
      </c>
      <c r="C15">
        <v>4029209</v>
      </c>
      <c r="D15">
        <v>2359809</v>
      </c>
      <c r="E15" s="2">
        <v>45917</v>
      </c>
      <c r="F15" s="2">
        <v>45919</v>
      </c>
      <c r="G15" t="s">
        <v>42</v>
      </c>
      <c r="H15" t="s">
        <v>70</v>
      </c>
      <c r="I15" t="s">
        <v>27</v>
      </c>
      <c r="J15" s="3">
        <v>45922.843055555553</v>
      </c>
      <c r="K15">
        <f t="shared" si="0"/>
        <v>9</v>
      </c>
      <c r="L15">
        <v>2025</v>
      </c>
      <c r="M15">
        <v>2025</v>
      </c>
      <c r="N15">
        <v>2025</v>
      </c>
      <c r="O15">
        <v>2025</v>
      </c>
      <c r="P15" t="s">
        <v>28</v>
      </c>
      <c r="Q15" t="s">
        <v>29</v>
      </c>
      <c r="R15" s="2">
        <v>45650</v>
      </c>
      <c r="S15">
        <v>0</v>
      </c>
      <c r="T15" t="s">
        <v>30</v>
      </c>
      <c r="U15" t="s">
        <v>41</v>
      </c>
      <c r="V15" t="s">
        <v>71</v>
      </c>
      <c r="W15" t="s">
        <v>70</v>
      </c>
      <c r="X15" t="s">
        <v>37</v>
      </c>
      <c r="Y15" t="s">
        <v>34</v>
      </c>
      <c r="Z15" t="str">
        <f t="shared" si="1"/>
        <v>0-6</v>
      </c>
      <c r="AA15" t="s">
        <v>545</v>
      </c>
      <c r="AB15">
        <v>31</v>
      </c>
      <c r="AC15" t="str" cm="1">
        <f t="array" ref="AC15">_xlfn.SWITCH(AB15,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15" t="str">
        <f t="shared" si="2"/>
        <v>58.57%</v>
      </c>
      <c r="AE15" t="s">
        <v>626</v>
      </c>
      <c r="AF15" s="8">
        <f t="shared" si="3"/>
        <v>45917</v>
      </c>
      <c r="AG15" s="8">
        <f>_xlfn.XLOOKUP(AE15, Dev!$A:$A, Dev!$B:$B, "")</f>
        <v>45700.542974537035</v>
      </c>
      <c r="AH15" s="11">
        <f t="shared" si="4"/>
        <v>216.45702546296525</v>
      </c>
    </row>
    <row r="16" spans="1:34" x14ac:dyDescent="0.3">
      <c r="A16" s="1">
        <v>14</v>
      </c>
      <c r="B16" t="s">
        <v>72</v>
      </c>
      <c r="C16">
        <v>2517275</v>
      </c>
      <c r="D16">
        <v>1085820</v>
      </c>
      <c r="E16" s="2">
        <v>45922</v>
      </c>
      <c r="F16" s="2">
        <v>45922</v>
      </c>
      <c r="G16" t="s">
        <v>73</v>
      </c>
      <c r="H16" t="s">
        <v>74</v>
      </c>
      <c r="I16" t="s">
        <v>27</v>
      </c>
      <c r="J16" s="3">
        <v>45922.824305555558</v>
      </c>
      <c r="K16">
        <f t="shared" si="0"/>
        <v>9</v>
      </c>
      <c r="L16">
        <v>2025</v>
      </c>
      <c r="M16">
        <v>2025</v>
      </c>
      <c r="N16">
        <v>2025</v>
      </c>
      <c r="O16">
        <v>2025</v>
      </c>
      <c r="P16" t="s">
        <v>28</v>
      </c>
      <c r="Q16" t="s">
        <v>29</v>
      </c>
      <c r="R16" s="2">
        <v>45636</v>
      </c>
      <c r="S16">
        <v>0</v>
      </c>
      <c r="T16" t="s">
        <v>30</v>
      </c>
      <c r="U16" t="s">
        <v>31</v>
      </c>
      <c r="V16" t="s">
        <v>32</v>
      </c>
      <c r="W16" t="s">
        <v>74</v>
      </c>
      <c r="X16" t="s">
        <v>33</v>
      </c>
      <c r="Y16" t="s">
        <v>34</v>
      </c>
      <c r="Z16" t="str">
        <f t="shared" si="1"/>
        <v>0-6</v>
      </c>
      <c r="AA16" t="s">
        <v>546</v>
      </c>
      <c r="AB16">
        <v>31</v>
      </c>
      <c r="AC16" t="str" cm="1">
        <f t="array" ref="AC16">_xlfn.SWITCH(AB16,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16" t="str">
        <f t="shared" si="2"/>
        <v>43.13%</v>
      </c>
      <c r="AE16" t="s">
        <v>627</v>
      </c>
      <c r="AF16" s="8">
        <f t="shared" si="3"/>
        <v>45922</v>
      </c>
      <c r="AG16" s="8">
        <f>_xlfn.XLOOKUP(AE16, Dev!$A:$A, Dev!$B:$B, "")</f>
        <v>45751.643692129626</v>
      </c>
      <c r="AH16" s="11">
        <f t="shared" si="4"/>
        <v>170.35630787037371</v>
      </c>
    </row>
    <row r="17" spans="1:34" x14ac:dyDescent="0.3">
      <c r="A17" s="1">
        <v>15</v>
      </c>
      <c r="B17" t="s">
        <v>75</v>
      </c>
      <c r="C17">
        <v>1437000</v>
      </c>
      <c r="D17">
        <v>846318</v>
      </c>
      <c r="E17" s="2">
        <v>45916</v>
      </c>
      <c r="F17" s="2">
        <v>45920</v>
      </c>
      <c r="G17" t="s">
        <v>76</v>
      </c>
      <c r="H17" t="s">
        <v>77</v>
      </c>
      <c r="I17" t="s">
        <v>27</v>
      </c>
      <c r="J17" s="3">
        <v>45921.603472222225</v>
      </c>
      <c r="K17">
        <f t="shared" si="0"/>
        <v>9</v>
      </c>
      <c r="L17">
        <v>2025</v>
      </c>
      <c r="M17">
        <v>2025</v>
      </c>
      <c r="N17">
        <v>2025</v>
      </c>
      <c r="O17">
        <v>2025</v>
      </c>
      <c r="P17" t="s">
        <v>28</v>
      </c>
      <c r="Q17" t="s">
        <v>29</v>
      </c>
      <c r="R17" s="2">
        <v>45487</v>
      </c>
      <c r="S17">
        <v>1</v>
      </c>
      <c r="T17" t="s">
        <v>30</v>
      </c>
      <c r="U17" t="s">
        <v>41</v>
      </c>
      <c r="V17" t="s">
        <v>56</v>
      </c>
      <c r="W17" t="s">
        <v>450</v>
      </c>
      <c r="X17" t="s">
        <v>42</v>
      </c>
      <c r="Y17" t="s">
        <v>34</v>
      </c>
      <c r="Z17" t="str">
        <f t="shared" si="1"/>
        <v>0-6</v>
      </c>
      <c r="AA17" t="s">
        <v>547</v>
      </c>
      <c r="AB17">
        <v>27</v>
      </c>
      <c r="AC17" t="str" cm="1">
        <f t="array" ref="AC17">_xlfn.SWITCH(AB17,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17" t="str">
        <f t="shared" si="2"/>
        <v>58.89%</v>
      </c>
      <c r="AE17" t="s">
        <v>628</v>
      </c>
      <c r="AF17" s="8">
        <f t="shared" si="3"/>
        <v>45916</v>
      </c>
      <c r="AG17" s="8">
        <f>_xlfn.XLOOKUP(AE17, Dev!$A:$A, Dev!$B:$B, "")</f>
        <v>45748.820972222224</v>
      </c>
      <c r="AH17" s="11">
        <f t="shared" si="4"/>
        <v>167.17902777777635</v>
      </c>
    </row>
    <row r="18" spans="1:34" x14ac:dyDescent="0.3">
      <c r="A18" s="1">
        <v>16</v>
      </c>
      <c r="B18" t="s">
        <v>79</v>
      </c>
      <c r="C18">
        <v>1086236</v>
      </c>
      <c r="D18">
        <v>551057</v>
      </c>
      <c r="E18" s="2">
        <v>45919</v>
      </c>
      <c r="G18" t="s">
        <v>80</v>
      </c>
      <c r="H18" t="s">
        <v>81</v>
      </c>
      <c r="I18" t="s">
        <v>27</v>
      </c>
      <c r="J18" s="3">
        <v>45919.923611111109</v>
      </c>
      <c r="K18">
        <f t="shared" si="0"/>
        <v>9</v>
      </c>
      <c r="L18">
        <v>2025</v>
      </c>
      <c r="M18">
        <v>2025</v>
      </c>
      <c r="N18">
        <v>2025</v>
      </c>
      <c r="O18">
        <v>2025</v>
      </c>
      <c r="P18" t="s">
        <v>28</v>
      </c>
      <c r="Q18" t="s">
        <v>29</v>
      </c>
      <c r="R18" s="2">
        <v>45598</v>
      </c>
      <c r="S18">
        <v>0</v>
      </c>
      <c r="T18" t="s">
        <v>30</v>
      </c>
      <c r="U18" t="s">
        <v>41</v>
      </c>
      <c r="V18" t="s">
        <v>32</v>
      </c>
      <c r="W18" t="s">
        <v>451</v>
      </c>
      <c r="X18" t="s">
        <v>33</v>
      </c>
      <c r="Y18" t="s">
        <v>34</v>
      </c>
      <c r="Z18" t="str">
        <f t="shared" si="1"/>
        <v>0-6</v>
      </c>
      <c r="AA18" t="s">
        <v>548</v>
      </c>
      <c r="AB18">
        <v>1</v>
      </c>
      <c r="AC18" t="str" cm="1">
        <f t="array" ref="AC18">_xlfn.SWITCH(AB18,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8" t="str">
        <f t="shared" si="2"/>
        <v>50.73%</v>
      </c>
      <c r="AE18" t="s">
        <v>629</v>
      </c>
      <c r="AF18" s="8">
        <f t="shared" si="3"/>
        <v>45919</v>
      </c>
      <c r="AG18" s="8">
        <f>_xlfn.XLOOKUP(AE18, Dev!$A:$A, Dev!$B:$B, "")</f>
        <v>45709.423483796294</v>
      </c>
      <c r="AH18" s="11">
        <f t="shared" si="4"/>
        <v>209.57651620370598</v>
      </c>
    </row>
    <row r="19" spans="1:34" x14ac:dyDescent="0.3">
      <c r="A19" s="1">
        <v>17</v>
      </c>
      <c r="B19" t="s">
        <v>82</v>
      </c>
      <c r="C19">
        <v>1499450</v>
      </c>
      <c r="D19">
        <v>1399450</v>
      </c>
      <c r="E19" s="2">
        <v>45916</v>
      </c>
      <c r="F19" s="2">
        <v>45916</v>
      </c>
      <c r="G19" t="s">
        <v>46</v>
      </c>
      <c r="H19" t="s">
        <v>83</v>
      </c>
      <c r="I19" t="s">
        <v>27</v>
      </c>
      <c r="J19" s="3">
        <v>45919.88958333333</v>
      </c>
      <c r="K19">
        <f t="shared" si="0"/>
        <v>9</v>
      </c>
      <c r="L19">
        <v>2025</v>
      </c>
      <c r="M19">
        <v>2025</v>
      </c>
      <c r="N19">
        <v>2025</v>
      </c>
      <c r="O19">
        <v>2025</v>
      </c>
      <c r="P19" t="s">
        <v>28</v>
      </c>
      <c r="Q19" t="s">
        <v>29</v>
      </c>
      <c r="R19" s="2">
        <v>45145</v>
      </c>
      <c r="S19">
        <v>2</v>
      </c>
      <c r="T19" t="s">
        <v>30</v>
      </c>
      <c r="U19" t="s">
        <v>41</v>
      </c>
      <c r="V19" t="s">
        <v>32</v>
      </c>
      <c r="W19" t="s">
        <v>83</v>
      </c>
      <c r="X19" t="s">
        <v>33</v>
      </c>
      <c r="Y19" t="s">
        <v>34</v>
      </c>
      <c r="Z19" t="str">
        <f t="shared" si="1"/>
        <v>0-6</v>
      </c>
      <c r="AA19" t="s">
        <v>549</v>
      </c>
      <c r="AB19">
        <v>27</v>
      </c>
      <c r="AC19" t="str" cm="1">
        <f t="array" ref="AC19">_xlfn.SWITCH(AB19,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19" t="str">
        <f t="shared" si="2"/>
        <v>93.33%</v>
      </c>
      <c r="AE19" t="s">
        <v>630</v>
      </c>
      <c r="AF19" s="8">
        <f t="shared" si="3"/>
        <v>45916</v>
      </c>
      <c r="AG19" s="8">
        <f>_xlfn.XLOOKUP(AE19, Dev!$A:$A, Dev!$B:$B, "")</f>
        <v>45784.413310185184</v>
      </c>
      <c r="AH19" s="11">
        <f t="shared" si="4"/>
        <v>131.58668981481605</v>
      </c>
    </row>
    <row r="20" spans="1:34" x14ac:dyDescent="0.3">
      <c r="A20" s="1">
        <v>18</v>
      </c>
      <c r="B20" t="s">
        <v>84</v>
      </c>
      <c r="C20">
        <v>525000</v>
      </c>
      <c r="D20">
        <v>600000</v>
      </c>
      <c r="E20" s="2">
        <v>45913</v>
      </c>
      <c r="F20" s="2">
        <v>45913</v>
      </c>
      <c r="G20" t="s">
        <v>42</v>
      </c>
      <c r="H20" t="s">
        <v>85</v>
      </c>
      <c r="I20" t="s">
        <v>27</v>
      </c>
      <c r="J20" s="3">
        <v>45919.887499999997</v>
      </c>
      <c r="K20">
        <f t="shared" si="0"/>
        <v>9</v>
      </c>
      <c r="L20">
        <v>2025</v>
      </c>
      <c r="M20">
        <v>2025</v>
      </c>
      <c r="N20">
        <v>2025</v>
      </c>
      <c r="O20">
        <v>2025</v>
      </c>
      <c r="P20" t="s">
        <v>28</v>
      </c>
      <c r="Q20" t="s">
        <v>29</v>
      </c>
      <c r="R20" s="2">
        <v>45719</v>
      </c>
      <c r="S20">
        <v>0</v>
      </c>
      <c r="T20" t="s">
        <v>30</v>
      </c>
      <c r="U20" t="s">
        <v>41</v>
      </c>
      <c r="V20" t="s">
        <v>32</v>
      </c>
      <c r="W20" t="s">
        <v>452</v>
      </c>
      <c r="X20" t="s">
        <v>78</v>
      </c>
      <c r="Y20" t="s">
        <v>34</v>
      </c>
      <c r="Z20" t="str">
        <f t="shared" si="1"/>
        <v>0-6</v>
      </c>
      <c r="AA20" t="s">
        <v>550</v>
      </c>
      <c r="AB20">
        <v>79</v>
      </c>
      <c r="AC20" t="str" cm="1">
        <f t="array" ref="AC20">_xlfn.SWITCH(AB20,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20" t="str">
        <f t="shared" si="2"/>
        <v>114.29%</v>
      </c>
      <c r="AE20" t="s">
        <v>631</v>
      </c>
      <c r="AF20" s="8">
        <f t="shared" si="3"/>
        <v>45913</v>
      </c>
      <c r="AG20" s="8">
        <f>_xlfn.XLOOKUP(AE20, Dev!$A:$A, Dev!$B:$B, "")</f>
        <v>45768.756631944445</v>
      </c>
      <c r="AH20" s="11">
        <f t="shared" si="4"/>
        <v>144.24336805555504</v>
      </c>
    </row>
    <row r="21" spans="1:34" x14ac:dyDescent="0.3">
      <c r="A21" s="1">
        <v>19</v>
      </c>
      <c r="B21" t="s">
        <v>86</v>
      </c>
      <c r="C21">
        <v>1494700</v>
      </c>
      <c r="D21">
        <v>1928890</v>
      </c>
      <c r="E21" s="2">
        <v>45901</v>
      </c>
      <c r="F21" s="2">
        <v>45909</v>
      </c>
      <c r="G21" t="s">
        <v>46</v>
      </c>
      <c r="H21" t="s">
        <v>87</v>
      </c>
      <c r="I21" t="s">
        <v>27</v>
      </c>
      <c r="J21" s="3">
        <v>45918.849305555559</v>
      </c>
      <c r="K21">
        <f t="shared" si="0"/>
        <v>9</v>
      </c>
      <c r="L21">
        <v>2025</v>
      </c>
      <c r="M21">
        <v>2025</v>
      </c>
      <c r="N21">
        <v>2025</v>
      </c>
      <c r="O21">
        <v>2025</v>
      </c>
      <c r="P21" t="s">
        <v>28</v>
      </c>
      <c r="Q21" t="s">
        <v>29</v>
      </c>
      <c r="R21" s="2">
        <v>45598</v>
      </c>
      <c r="S21">
        <v>0</v>
      </c>
      <c r="T21" t="s">
        <v>30</v>
      </c>
      <c r="U21" t="s">
        <v>41</v>
      </c>
      <c r="V21" t="s">
        <v>32</v>
      </c>
      <c r="W21" t="s">
        <v>169</v>
      </c>
      <c r="X21" t="s">
        <v>42</v>
      </c>
      <c r="Y21" t="s">
        <v>34</v>
      </c>
      <c r="Z21" t="str">
        <f t="shared" si="1"/>
        <v>0-6</v>
      </c>
      <c r="AA21" t="s">
        <v>548</v>
      </c>
      <c r="AB21">
        <v>1</v>
      </c>
      <c r="AC21" t="str" cm="1">
        <f t="array" ref="AC21">_xlfn.SWITCH(AB21,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21" t="str">
        <f t="shared" si="2"/>
        <v>129.05%</v>
      </c>
      <c r="AE21" t="s">
        <v>629</v>
      </c>
      <c r="AF21" s="8">
        <f t="shared" si="3"/>
        <v>45901</v>
      </c>
      <c r="AG21" s="8">
        <f>_xlfn.XLOOKUP(AE21, Dev!$A:$A, Dev!$B:$B, "")</f>
        <v>45709.423483796294</v>
      </c>
      <c r="AH21" s="11">
        <f t="shared" si="4"/>
        <v>191.57651620370598</v>
      </c>
    </row>
    <row r="22" spans="1:34" x14ac:dyDescent="0.3">
      <c r="A22" s="1">
        <v>20</v>
      </c>
      <c r="B22" t="s">
        <v>88</v>
      </c>
      <c r="C22">
        <v>742600</v>
      </c>
      <c r="D22">
        <v>742600</v>
      </c>
      <c r="E22" s="2">
        <v>45902</v>
      </c>
      <c r="F22" s="2">
        <v>45902</v>
      </c>
      <c r="G22" t="s">
        <v>46</v>
      </c>
      <c r="H22" t="s">
        <v>83</v>
      </c>
      <c r="I22" t="s">
        <v>27</v>
      </c>
      <c r="J22" s="3">
        <v>45918.738888888889</v>
      </c>
      <c r="K22">
        <f t="shared" si="0"/>
        <v>9</v>
      </c>
      <c r="L22">
        <v>2025</v>
      </c>
      <c r="M22">
        <v>2025</v>
      </c>
      <c r="N22">
        <v>2025</v>
      </c>
      <c r="O22">
        <v>2025</v>
      </c>
      <c r="P22" t="s">
        <v>28</v>
      </c>
      <c r="Q22" t="s">
        <v>29</v>
      </c>
      <c r="R22" s="2">
        <v>45381</v>
      </c>
      <c r="S22">
        <v>1</v>
      </c>
      <c r="T22" t="s">
        <v>30</v>
      </c>
      <c r="U22" t="s">
        <v>31</v>
      </c>
      <c r="V22" t="s">
        <v>32</v>
      </c>
      <c r="W22" t="s">
        <v>83</v>
      </c>
      <c r="X22" t="s">
        <v>33</v>
      </c>
      <c r="Y22" t="s">
        <v>34</v>
      </c>
      <c r="Z22" t="str">
        <f t="shared" si="1"/>
        <v>0-6</v>
      </c>
      <c r="AA22" t="s">
        <v>551</v>
      </c>
      <c r="AB22">
        <v>1</v>
      </c>
      <c r="AC22" t="str" cm="1">
        <f t="array" ref="AC22">_xlfn.SWITCH(AB22,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22" t="str">
        <f t="shared" si="2"/>
        <v>100%</v>
      </c>
      <c r="AE22" t="s">
        <v>632</v>
      </c>
      <c r="AF22" s="8">
        <f t="shared" si="3"/>
        <v>45902</v>
      </c>
      <c r="AG22" s="8">
        <f>_xlfn.XLOOKUP(AE22, Dev!$A:$A, Dev!$B:$B, "")</f>
        <v>45706.477743055555</v>
      </c>
      <c r="AH22" s="11">
        <f t="shared" si="4"/>
        <v>195.52225694444496</v>
      </c>
    </row>
    <row r="23" spans="1:34" x14ac:dyDescent="0.3">
      <c r="A23" s="1">
        <v>21</v>
      </c>
      <c r="B23" t="s">
        <v>89</v>
      </c>
      <c r="C23">
        <v>414000</v>
      </c>
      <c r="D23">
        <v>331200</v>
      </c>
      <c r="E23" s="2">
        <v>45916</v>
      </c>
      <c r="F23" s="2">
        <v>45916</v>
      </c>
      <c r="G23" t="s">
        <v>90</v>
      </c>
      <c r="H23" t="s">
        <v>91</v>
      </c>
      <c r="I23" t="s">
        <v>27</v>
      </c>
      <c r="J23" s="3">
        <v>45917.796527777777</v>
      </c>
      <c r="K23">
        <f t="shared" si="0"/>
        <v>9</v>
      </c>
      <c r="L23">
        <v>2025</v>
      </c>
      <c r="M23">
        <v>2025</v>
      </c>
      <c r="N23">
        <v>2025</v>
      </c>
      <c r="O23">
        <v>2025</v>
      </c>
      <c r="P23" t="s">
        <v>28</v>
      </c>
      <c r="Q23" t="s">
        <v>29</v>
      </c>
      <c r="R23" s="2">
        <v>45330</v>
      </c>
      <c r="S23">
        <v>1</v>
      </c>
      <c r="T23" t="s">
        <v>30</v>
      </c>
      <c r="U23" t="s">
        <v>31</v>
      </c>
      <c r="V23" t="s">
        <v>32</v>
      </c>
      <c r="W23" t="s">
        <v>214</v>
      </c>
      <c r="X23" t="s">
        <v>33</v>
      </c>
      <c r="Y23" t="s">
        <v>34</v>
      </c>
      <c r="Z23" t="str">
        <f t="shared" si="1"/>
        <v>0-6</v>
      </c>
      <c r="AA23" t="s">
        <v>552</v>
      </c>
      <c r="AB23">
        <v>77</v>
      </c>
      <c r="AC23" t="str" cm="1">
        <f t="array" ref="AC23">_xlfn.SWITCH(AB23,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Bà Rịa - Vũng Tàu</v>
      </c>
      <c r="AD23" t="str">
        <f t="shared" si="2"/>
        <v>80%</v>
      </c>
      <c r="AE23" t="s">
        <v>633</v>
      </c>
      <c r="AF23" s="8">
        <f t="shared" si="3"/>
        <v>45916</v>
      </c>
      <c r="AG23" s="8">
        <f>_xlfn.XLOOKUP(AE23, Dev!$A:$A, Dev!$B:$B, "")</f>
        <v>45717.561261574076</v>
      </c>
      <c r="AH23" s="11">
        <f t="shared" si="4"/>
        <v>198.43873842592438</v>
      </c>
    </row>
    <row r="24" spans="1:34" x14ac:dyDescent="0.3">
      <c r="A24" s="1">
        <v>22</v>
      </c>
      <c r="B24" t="s">
        <v>92</v>
      </c>
      <c r="C24">
        <v>865000</v>
      </c>
      <c r="D24">
        <v>532000</v>
      </c>
      <c r="E24" s="2">
        <v>45911</v>
      </c>
      <c r="F24" s="2">
        <v>45911</v>
      </c>
      <c r="G24" t="s">
        <v>93</v>
      </c>
      <c r="H24" t="s">
        <v>94</v>
      </c>
      <c r="I24" t="s">
        <v>27</v>
      </c>
      <c r="J24" s="3">
        <v>45917.472916666666</v>
      </c>
      <c r="K24">
        <f t="shared" si="0"/>
        <v>9</v>
      </c>
      <c r="L24">
        <v>2025</v>
      </c>
      <c r="M24">
        <v>2025</v>
      </c>
      <c r="N24">
        <v>2025</v>
      </c>
      <c r="O24">
        <v>2025</v>
      </c>
      <c r="P24" t="s">
        <v>28</v>
      </c>
      <c r="Q24" t="s">
        <v>29</v>
      </c>
      <c r="R24" s="2">
        <v>45454</v>
      </c>
      <c r="S24">
        <v>1</v>
      </c>
      <c r="T24" t="s">
        <v>30</v>
      </c>
      <c r="U24" t="s">
        <v>41</v>
      </c>
      <c r="V24" t="s">
        <v>32</v>
      </c>
      <c r="W24" t="s">
        <v>453</v>
      </c>
      <c r="X24" t="s">
        <v>33</v>
      </c>
      <c r="Y24" t="s">
        <v>34</v>
      </c>
      <c r="Z24" t="str">
        <f t="shared" si="1"/>
        <v>0-6</v>
      </c>
      <c r="AA24" t="s">
        <v>553</v>
      </c>
      <c r="AB24">
        <v>1</v>
      </c>
      <c r="AC24" t="str" cm="1">
        <f t="array" ref="AC24">_xlfn.SWITCH(AB24,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24" t="str">
        <f t="shared" si="2"/>
        <v>61.5%</v>
      </c>
      <c r="AE24" t="s">
        <v>634</v>
      </c>
      <c r="AF24" s="8">
        <f t="shared" si="3"/>
        <v>45911</v>
      </c>
      <c r="AG24" s="8">
        <f>_xlfn.XLOOKUP(AE24, Dev!$A:$A, Dev!$B:$B, "")</f>
        <v>45745.370266203703</v>
      </c>
      <c r="AH24" s="11">
        <f t="shared" si="4"/>
        <v>165.62973379629693</v>
      </c>
    </row>
    <row r="25" spans="1:34" x14ac:dyDescent="0.3">
      <c r="A25" s="1">
        <v>23</v>
      </c>
      <c r="B25" t="s">
        <v>95</v>
      </c>
      <c r="C25">
        <v>824538</v>
      </c>
      <c r="D25">
        <v>824538</v>
      </c>
      <c r="E25" s="2">
        <v>45913</v>
      </c>
      <c r="G25" t="s">
        <v>39</v>
      </c>
      <c r="H25" t="s">
        <v>96</v>
      </c>
      <c r="I25" t="s">
        <v>27</v>
      </c>
      <c r="J25" s="3">
        <v>45917.472222222219</v>
      </c>
      <c r="K25">
        <f t="shared" si="0"/>
        <v>9</v>
      </c>
      <c r="L25">
        <v>2025</v>
      </c>
      <c r="M25">
        <v>2025</v>
      </c>
      <c r="N25">
        <v>2025</v>
      </c>
      <c r="O25">
        <v>2025</v>
      </c>
      <c r="P25" t="s">
        <v>28</v>
      </c>
      <c r="Q25" t="s">
        <v>29</v>
      </c>
      <c r="R25" s="2">
        <v>45713</v>
      </c>
      <c r="S25">
        <v>0</v>
      </c>
      <c r="T25" t="s">
        <v>30</v>
      </c>
      <c r="U25" t="s">
        <v>31</v>
      </c>
      <c r="V25" t="s">
        <v>71</v>
      </c>
      <c r="W25" t="s">
        <v>96</v>
      </c>
      <c r="X25" t="s">
        <v>42</v>
      </c>
      <c r="Y25" t="s">
        <v>34</v>
      </c>
      <c r="Z25" t="str">
        <f t="shared" si="1"/>
        <v>0-6</v>
      </c>
      <c r="AA25" t="s">
        <v>554</v>
      </c>
      <c r="AB25">
        <v>1</v>
      </c>
      <c r="AC25" t="str" cm="1">
        <f t="array" ref="AC25">_xlfn.SWITCH(AB25,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25" t="str">
        <f t="shared" si="2"/>
        <v>100%</v>
      </c>
      <c r="AE25" t="s">
        <v>635</v>
      </c>
      <c r="AF25" s="8">
        <f t="shared" si="3"/>
        <v>45913</v>
      </c>
      <c r="AG25" s="8">
        <f>_xlfn.XLOOKUP(AE25, Dev!$A:$A, Dev!$B:$B, "")</f>
        <v>45745.735625000001</v>
      </c>
      <c r="AH25" s="11">
        <f t="shared" si="4"/>
        <v>167.26437499999884</v>
      </c>
    </row>
    <row r="26" spans="1:34" x14ac:dyDescent="0.3">
      <c r="A26" s="1">
        <v>24</v>
      </c>
      <c r="B26" t="s">
        <v>97</v>
      </c>
      <c r="C26">
        <v>970700</v>
      </c>
      <c r="D26">
        <v>722000</v>
      </c>
      <c r="E26" s="2">
        <v>45917</v>
      </c>
      <c r="G26" t="s">
        <v>46</v>
      </c>
      <c r="H26" t="s">
        <v>98</v>
      </c>
      <c r="I26" t="s">
        <v>27</v>
      </c>
      <c r="J26" s="3">
        <v>45917.441666666666</v>
      </c>
      <c r="K26">
        <f t="shared" si="0"/>
        <v>9</v>
      </c>
      <c r="L26">
        <v>2025</v>
      </c>
      <c r="M26">
        <v>2025</v>
      </c>
      <c r="N26">
        <v>2025</v>
      </c>
      <c r="O26">
        <v>2025</v>
      </c>
      <c r="P26" t="s">
        <v>28</v>
      </c>
      <c r="Q26" t="s">
        <v>29</v>
      </c>
      <c r="R26" s="2">
        <v>45266</v>
      </c>
      <c r="S26">
        <v>1</v>
      </c>
      <c r="T26" t="s">
        <v>30</v>
      </c>
      <c r="U26" t="s">
        <v>41</v>
      </c>
      <c r="V26" t="s">
        <v>32</v>
      </c>
      <c r="W26" t="s">
        <v>454</v>
      </c>
      <c r="X26" t="s">
        <v>33</v>
      </c>
      <c r="Y26" t="s">
        <v>34</v>
      </c>
      <c r="Z26" t="str">
        <f t="shared" si="1"/>
        <v>0-6</v>
      </c>
      <c r="AA26" t="s">
        <v>555</v>
      </c>
      <c r="AB26">
        <v>1</v>
      </c>
      <c r="AC26" t="str" cm="1">
        <f t="array" ref="AC26">_xlfn.SWITCH(AB26,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26" t="str">
        <f t="shared" si="2"/>
        <v>74.38%</v>
      </c>
      <c r="AE26" t="s">
        <v>636</v>
      </c>
      <c r="AF26" s="8">
        <f t="shared" si="3"/>
        <v>45917</v>
      </c>
      <c r="AG26" s="8">
        <f>_xlfn.XLOOKUP(AE26, Dev!$A:$A, Dev!$B:$B, "")</f>
        <v>45812.63957175926</v>
      </c>
      <c r="AH26" s="11">
        <f t="shared" si="4"/>
        <v>104.36042824073957</v>
      </c>
    </row>
    <row r="27" spans="1:34" x14ac:dyDescent="0.3">
      <c r="A27" s="1">
        <v>25</v>
      </c>
      <c r="B27" t="s">
        <v>99</v>
      </c>
      <c r="C27">
        <v>340360</v>
      </c>
      <c r="D27">
        <v>272287</v>
      </c>
      <c r="E27" s="2">
        <v>45910</v>
      </c>
      <c r="F27" s="2">
        <v>45910</v>
      </c>
      <c r="G27" t="s">
        <v>25</v>
      </c>
      <c r="H27" t="s">
        <v>100</v>
      </c>
      <c r="I27" t="s">
        <v>27</v>
      </c>
      <c r="J27" s="3">
        <v>45917.413194444445</v>
      </c>
      <c r="K27">
        <f t="shared" si="0"/>
        <v>9</v>
      </c>
      <c r="L27">
        <v>2025</v>
      </c>
      <c r="M27">
        <v>2025</v>
      </c>
      <c r="N27">
        <v>2025</v>
      </c>
      <c r="O27">
        <v>2025</v>
      </c>
      <c r="P27" t="s">
        <v>28</v>
      </c>
      <c r="Q27" t="s">
        <v>29</v>
      </c>
      <c r="R27" s="2">
        <v>44634</v>
      </c>
      <c r="S27">
        <v>3</v>
      </c>
      <c r="T27" t="s">
        <v>30</v>
      </c>
      <c r="U27" t="s">
        <v>31</v>
      </c>
      <c r="V27" t="s">
        <v>32</v>
      </c>
      <c r="W27" t="s">
        <v>100</v>
      </c>
      <c r="X27" t="s">
        <v>33</v>
      </c>
      <c r="Y27" t="s">
        <v>34</v>
      </c>
      <c r="Z27" t="str">
        <f t="shared" si="1"/>
        <v>0-6</v>
      </c>
      <c r="AA27" t="s">
        <v>556</v>
      </c>
      <c r="AB27">
        <v>79</v>
      </c>
      <c r="AC27" t="str" cm="1">
        <f t="array" ref="AC27">_xlfn.SWITCH(AB27,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27" t="str">
        <f t="shared" si="2"/>
        <v>80%</v>
      </c>
      <c r="AE27" t="s">
        <v>637</v>
      </c>
      <c r="AF27" s="8">
        <f t="shared" si="3"/>
        <v>45910</v>
      </c>
      <c r="AG27" s="8">
        <f>_xlfn.XLOOKUP(AE27, Dev!$A:$A, Dev!$B:$B, "")</f>
        <v>45749.551354166666</v>
      </c>
      <c r="AH27" s="11">
        <f t="shared" si="4"/>
        <v>160.44864583333401</v>
      </c>
    </row>
    <row r="28" spans="1:34" x14ac:dyDescent="0.3">
      <c r="A28" s="1">
        <v>26</v>
      </c>
      <c r="B28" t="s">
        <v>101</v>
      </c>
      <c r="C28">
        <v>1044000</v>
      </c>
      <c r="D28">
        <v>193000</v>
      </c>
      <c r="E28" s="2">
        <v>45915</v>
      </c>
      <c r="F28" s="2">
        <v>45915</v>
      </c>
      <c r="G28" t="s">
        <v>42</v>
      </c>
      <c r="H28" t="s">
        <v>102</v>
      </c>
      <c r="I28" t="s">
        <v>27</v>
      </c>
      <c r="J28" s="3">
        <v>45915.690972222219</v>
      </c>
      <c r="K28">
        <f t="shared" si="0"/>
        <v>9</v>
      </c>
      <c r="L28">
        <v>2025</v>
      </c>
      <c r="M28">
        <v>2025</v>
      </c>
      <c r="N28">
        <v>2025</v>
      </c>
      <c r="O28">
        <v>2025</v>
      </c>
      <c r="P28" t="s">
        <v>28</v>
      </c>
      <c r="Q28" t="s">
        <v>29</v>
      </c>
      <c r="R28" s="2">
        <v>45650</v>
      </c>
      <c r="S28">
        <v>0</v>
      </c>
      <c r="T28" t="s">
        <v>30</v>
      </c>
      <c r="U28" t="s">
        <v>41</v>
      </c>
      <c r="V28" t="s">
        <v>32</v>
      </c>
      <c r="W28" t="s">
        <v>455</v>
      </c>
      <c r="X28" t="s">
        <v>42</v>
      </c>
      <c r="Y28" t="s">
        <v>34</v>
      </c>
      <c r="Z28" t="str">
        <f t="shared" si="1"/>
        <v>0-6</v>
      </c>
      <c r="AA28" t="s">
        <v>545</v>
      </c>
      <c r="AB28">
        <v>31</v>
      </c>
      <c r="AC28" t="str" cm="1">
        <f t="array" ref="AC28">_xlfn.SWITCH(AB28,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28" t="str">
        <f t="shared" si="2"/>
        <v>18.49%</v>
      </c>
      <c r="AE28" t="s">
        <v>626</v>
      </c>
      <c r="AF28" s="8">
        <f t="shared" si="3"/>
        <v>45915</v>
      </c>
      <c r="AG28" s="8">
        <f>_xlfn.XLOOKUP(AE28, Dev!$A:$A, Dev!$B:$B, "")</f>
        <v>45700.542974537035</v>
      </c>
      <c r="AH28" s="11">
        <f t="shared" si="4"/>
        <v>214.45702546296525</v>
      </c>
    </row>
    <row r="29" spans="1:34" x14ac:dyDescent="0.3">
      <c r="A29" s="1">
        <v>27</v>
      </c>
      <c r="B29" t="s">
        <v>103</v>
      </c>
      <c r="C29">
        <v>783750</v>
      </c>
      <c r="D29">
        <v>783750</v>
      </c>
      <c r="E29" s="2">
        <v>45914</v>
      </c>
      <c r="G29" t="s">
        <v>46</v>
      </c>
      <c r="H29" t="s">
        <v>104</v>
      </c>
      <c r="I29" t="s">
        <v>27</v>
      </c>
      <c r="J29" s="3">
        <v>45914.67291666667</v>
      </c>
      <c r="K29">
        <f t="shared" si="0"/>
        <v>9</v>
      </c>
      <c r="L29">
        <v>2025</v>
      </c>
      <c r="M29">
        <v>2025</v>
      </c>
      <c r="N29">
        <v>2025</v>
      </c>
      <c r="O29">
        <v>2025</v>
      </c>
      <c r="P29" t="s">
        <v>28</v>
      </c>
      <c r="Q29" t="s">
        <v>29</v>
      </c>
      <c r="R29" s="2">
        <v>45283</v>
      </c>
      <c r="S29">
        <v>1</v>
      </c>
      <c r="T29" t="s">
        <v>30</v>
      </c>
      <c r="U29" t="s">
        <v>41</v>
      </c>
      <c r="V29" t="s">
        <v>32</v>
      </c>
      <c r="W29" t="s">
        <v>456</v>
      </c>
      <c r="X29" t="s">
        <v>33</v>
      </c>
      <c r="Y29" t="s">
        <v>34</v>
      </c>
      <c r="Z29" t="str">
        <f t="shared" si="1"/>
        <v>0-6</v>
      </c>
      <c r="AA29" t="s">
        <v>540</v>
      </c>
      <c r="AB29">
        <v>35</v>
      </c>
      <c r="AC29" t="str" cm="1">
        <f t="array" ref="AC29">_xlfn.SWITCH(AB29,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Hà Nam</v>
      </c>
      <c r="AD29" t="str">
        <f t="shared" si="2"/>
        <v>100%</v>
      </c>
      <c r="AE29" t="s">
        <v>621</v>
      </c>
      <c r="AF29" s="8">
        <f t="shared" si="3"/>
        <v>45914</v>
      </c>
      <c r="AG29" s="8">
        <f>_xlfn.XLOOKUP(AE29, Dev!$A:$A, Dev!$B:$B, "")</f>
        <v>45723.677615740744</v>
      </c>
      <c r="AH29" s="11">
        <f t="shared" si="4"/>
        <v>190.32238425925607</v>
      </c>
    </row>
    <row r="30" spans="1:34" x14ac:dyDescent="0.3">
      <c r="A30" s="1">
        <v>28</v>
      </c>
      <c r="B30" t="s">
        <v>105</v>
      </c>
      <c r="C30">
        <v>550975</v>
      </c>
      <c r="D30">
        <v>550975</v>
      </c>
      <c r="E30" s="2">
        <v>45913</v>
      </c>
      <c r="F30" s="2">
        <v>45913</v>
      </c>
      <c r="G30" t="s">
        <v>106</v>
      </c>
      <c r="H30" t="s">
        <v>107</v>
      </c>
      <c r="I30" t="s">
        <v>27</v>
      </c>
      <c r="J30" s="3">
        <v>45914.423611111109</v>
      </c>
      <c r="K30">
        <f t="shared" si="0"/>
        <v>9</v>
      </c>
      <c r="L30">
        <v>2025</v>
      </c>
      <c r="M30">
        <v>2025</v>
      </c>
      <c r="N30">
        <v>2025</v>
      </c>
      <c r="O30">
        <v>2025</v>
      </c>
      <c r="P30" t="s">
        <v>28</v>
      </c>
      <c r="Q30" t="s">
        <v>29</v>
      </c>
      <c r="R30" s="2">
        <v>45650</v>
      </c>
      <c r="S30">
        <v>0</v>
      </c>
      <c r="T30" t="s">
        <v>30</v>
      </c>
      <c r="U30" t="s">
        <v>31</v>
      </c>
      <c r="V30" t="s">
        <v>32</v>
      </c>
      <c r="W30" t="s">
        <v>457</v>
      </c>
      <c r="X30" t="s">
        <v>37</v>
      </c>
      <c r="Y30" t="s">
        <v>34</v>
      </c>
      <c r="Z30" t="str">
        <f t="shared" si="1"/>
        <v>0-6</v>
      </c>
      <c r="AA30" t="s">
        <v>557</v>
      </c>
      <c r="AB30">
        <v>48</v>
      </c>
      <c r="AC30" t="str" cm="1">
        <f t="array" ref="AC30">_xlfn.SWITCH(AB30,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Đà Nẵng</v>
      </c>
      <c r="AD30" t="str">
        <f t="shared" si="2"/>
        <v>100%</v>
      </c>
      <c r="AE30" t="s">
        <v>638</v>
      </c>
      <c r="AF30" s="8">
        <f t="shared" si="3"/>
        <v>45913</v>
      </c>
      <c r="AG30" s="8">
        <f>_xlfn.XLOOKUP(AE30, Dev!$A:$A, Dev!$B:$B, "")</f>
        <v>45718.405949074076</v>
      </c>
      <c r="AH30" s="11">
        <f t="shared" si="4"/>
        <v>194.59405092592351</v>
      </c>
    </row>
    <row r="31" spans="1:34" x14ac:dyDescent="0.3">
      <c r="A31" s="1">
        <v>29</v>
      </c>
      <c r="B31" t="s">
        <v>108</v>
      </c>
      <c r="C31">
        <v>419471</v>
      </c>
      <c r="D31">
        <v>419471</v>
      </c>
      <c r="E31" s="2">
        <v>45905</v>
      </c>
      <c r="F31" s="2">
        <v>45905</v>
      </c>
      <c r="G31" t="s">
        <v>51</v>
      </c>
      <c r="H31" t="s">
        <v>65</v>
      </c>
      <c r="I31" t="s">
        <v>27</v>
      </c>
      <c r="J31" s="3">
        <v>45912.580555555556</v>
      </c>
      <c r="K31">
        <f t="shared" si="0"/>
        <v>9</v>
      </c>
      <c r="L31">
        <v>2025</v>
      </c>
      <c r="M31">
        <v>2025</v>
      </c>
      <c r="N31">
        <v>2025</v>
      </c>
      <c r="O31">
        <v>2025</v>
      </c>
      <c r="P31" t="s">
        <v>28</v>
      </c>
      <c r="Q31" t="s">
        <v>29</v>
      </c>
      <c r="R31" s="2">
        <v>44269</v>
      </c>
      <c r="S31">
        <v>4</v>
      </c>
      <c r="T31" t="s">
        <v>30</v>
      </c>
      <c r="U31" t="s">
        <v>41</v>
      </c>
      <c r="V31" t="s">
        <v>32</v>
      </c>
      <c r="W31" t="s">
        <v>65</v>
      </c>
      <c r="X31" t="s">
        <v>33</v>
      </c>
      <c r="Y31" t="s">
        <v>34</v>
      </c>
      <c r="Z31" t="str">
        <f t="shared" si="1"/>
        <v>0-6</v>
      </c>
      <c r="AA31" t="s">
        <v>541</v>
      </c>
      <c r="AB31">
        <v>79</v>
      </c>
      <c r="AC31" t="str" cm="1">
        <f t="array" ref="AC31">_xlfn.SWITCH(AB31,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1" t="str">
        <f t="shared" si="2"/>
        <v>100%</v>
      </c>
      <c r="AE31" t="s">
        <v>622</v>
      </c>
      <c r="AF31" s="8">
        <f t="shared" si="3"/>
        <v>45905</v>
      </c>
      <c r="AG31" s="8">
        <f>_xlfn.XLOOKUP(AE31, Dev!$A:$A, Dev!$B:$B, "")</f>
        <v>45689</v>
      </c>
      <c r="AH31" s="11">
        <f t="shared" si="4"/>
        <v>216</v>
      </c>
    </row>
    <row r="32" spans="1:34" x14ac:dyDescent="0.3">
      <c r="A32" s="1">
        <v>30</v>
      </c>
      <c r="B32" t="s">
        <v>109</v>
      </c>
      <c r="C32">
        <v>398499</v>
      </c>
      <c r="D32">
        <v>398499</v>
      </c>
      <c r="E32" s="2">
        <v>45903</v>
      </c>
      <c r="F32" s="2">
        <v>45903</v>
      </c>
      <c r="G32" t="s">
        <v>51</v>
      </c>
      <c r="H32" t="s">
        <v>65</v>
      </c>
      <c r="I32" t="s">
        <v>27</v>
      </c>
      <c r="J32" s="3">
        <v>45912.577777777777</v>
      </c>
      <c r="K32">
        <f t="shared" si="0"/>
        <v>9</v>
      </c>
      <c r="L32">
        <v>2025</v>
      </c>
      <c r="M32">
        <v>2025</v>
      </c>
      <c r="N32">
        <v>2025</v>
      </c>
      <c r="O32">
        <v>2025</v>
      </c>
      <c r="P32" t="s">
        <v>28</v>
      </c>
      <c r="Q32" t="s">
        <v>29</v>
      </c>
      <c r="R32" s="2">
        <v>44269</v>
      </c>
      <c r="S32">
        <v>4</v>
      </c>
      <c r="T32" t="s">
        <v>30</v>
      </c>
      <c r="U32" t="s">
        <v>41</v>
      </c>
      <c r="V32" t="s">
        <v>32</v>
      </c>
      <c r="W32" t="s">
        <v>65</v>
      </c>
      <c r="X32" t="s">
        <v>33</v>
      </c>
      <c r="Y32" t="s">
        <v>34</v>
      </c>
      <c r="Z32" t="str">
        <f t="shared" si="1"/>
        <v>0-6</v>
      </c>
      <c r="AA32" t="s">
        <v>541</v>
      </c>
      <c r="AB32">
        <v>79</v>
      </c>
      <c r="AC32" t="str" cm="1">
        <f t="array" ref="AC32">_xlfn.SWITCH(AB32,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2" t="str">
        <f t="shared" si="2"/>
        <v>100%</v>
      </c>
      <c r="AE32" t="s">
        <v>622</v>
      </c>
      <c r="AF32" s="8">
        <f t="shared" si="3"/>
        <v>45903</v>
      </c>
      <c r="AG32" s="8">
        <f>_xlfn.XLOOKUP(AE32, Dev!$A:$A, Dev!$B:$B, "")</f>
        <v>45689</v>
      </c>
      <c r="AH32" s="11">
        <f t="shared" si="4"/>
        <v>214</v>
      </c>
    </row>
    <row r="33" spans="1:34" x14ac:dyDescent="0.3">
      <c r="A33" s="1">
        <v>31</v>
      </c>
      <c r="B33" t="s">
        <v>110</v>
      </c>
      <c r="C33">
        <v>1919500</v>
      </c>
      <c r="D33">
        <v>715500</v>
      </c>
      <c r="E33" s="2">
        <v>45907</v>
      </c>
      <c r="F33" s="2">
        <v>45911</v>
      </c>
      <c r="G33" t="s">
        <v>111</v>
      </c>
      <c r="H33" t="s">
        <v>112</v>
      </c>
      <c r="I33" t="s">
        <v>27</v>
      </c>
      <c r="J33" s="3">
        <v>45911.451388888891</v>
      </c>
      <c r="K33">
        <f t="shared" si="0"/>
        <v>9</v>
      </c>
      <c r="L33">
        <v>2025</v>
      </c>
      <c r="M33">
        <v>2025</v>
      </c>
      <c r="N33">
        <v>2025</v>
      </c>
      <c r="O33">
        <v>2025</v>
      </c>
      <c r="P33" t="s">
        <v>28</v>
      </c>
      <c r="Q33" t="s">
        <v>29</v>
      </c>
      <c r="R33" s="2">
        <v>45619</v>
      </c>
      <c r="S33">
        <v>0</v>
      </c>
      <c r="T33" t="s">
        <v>30</v>
      </c>
      <c r="U33" t="s">
        <v>31</v>
      </c>
      <c r="V33" t="s">
        <v>32</v>
      </c>
      <c r="W33" t="s">
        <v>112</v>
      </c>
      <c r="X33" t="s">
        <v>42</v>
      </c>
      <c r="Y33" t="s">
        <v>34</v>
      </c>
      <c r="Z33" t="str">
        <f t="shared" si="1"/>
        <v>0-6</v>
      </c>
      <c r="AA33" t="s">
        <v>558</v>
      </c>
      <c r="AB33">
        <v>1</v>
      </c>
      <c r="AC33" t="str" cm="1">
        <f t="array" ref="AC33">_xlfn.SWITCH(AB33,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33" t="str">
        <f t="shared" si="2"/>
        <v>37.28%</v>
      </c>
      <c r="AE33" t="s">
        <v>639</v>
      </c>
      <c r="AF33" s="8">
        <f t="shared" si="3"/>
        <v>45907</v>
      </c>
      <c r="AG33" s="8">
        <f>_xlfn.XLOOKUP(AE33, Dev!$A:$A, Dev!$B:$B, "")</f>
        <v>45680.692175925928</v>
      </c>
      <c r="AH33" s="11">
        <f t="shared" si="4"/>
        <v>226.30782407407241</v>
      </c>
    </row>
    <row r="34" spans="1:34" x14ac:dyDescent="0.3">
      <c r="A34" s="1">
        <v>32</v>
      </c>
      <c r="B34" t="s">
        <v>113</v>
      </c>
      <c r="C34">
        <v>172000</v>
      </c>
      <c r="D34">
        <v>137600</v>
      </c>
      <c r="E34" s="2">
        <v>45900</v>
      </c>
      <c r="F34" s="2">
        <v>45900</v>
      </c>
      <c r="G34" t="s">
        <v>114</v>
      </c>
      <c r="H34" t="s">
        <v>115</v>
      </c>
      <c r="I34" t="s">
        <v>27</v>
      </c>
      <c r="J34" s="3">
        <v>45909.602777777778</v>
      </c>
      <c r="K34">
        <f t="shared" ref="K34:K65" si="5">MONTH(J34)</f>
        <v>9</v>
      </c>
      <c r="L34">
        <v>2025</v>
      </c>
      <c r="M34">
        <v>2025</v>
      </c>
      <c r="N34">
        <v>2025</v>
      </c>
      <c r="O34">
        <v>2025</v>
      </c>
      <c r="P34" t="s">
        <v>28</v>
      </c>
      <c r="Q34" t="s">
        <v>29</v>
      </c>
      <c r="R34" s="2">
        <v>44269</v>
      </c>
      <c r="S34">
        <v>4</v>
      </c>
      <c r="T34" t="s">
        <v>30</v>
      </c>
      <c r="U34" t="s">
        <v>41</v>
      </c>
      <c r="V34" t="s">
        <v>32</v>
      </c>
      <c r="W34" t="s">
        <v>458</v>
      </c>
      <c r="X34" t="s">
        <v>33</v>
      </c>
      <c r="Y34" t="s">
        <v>34</v>
      </c>
      <c r="Z34" t="str">
        <f t="shared" ref="Z34:Z65" si="6">IF(S34&lt;=6,"0-6",
IF(S34&lt;=17,"7-17",
IF(S34&lt;=35,"18-35",
IF(S34&lt;=55,"36-55",
"56+"))))</f>
        <v>0-6</v>
      </c>
      <c r="AA34" t="s">
        <v>541</v>
      </c>
      <c r="AB34">
        <v>79</v>
      </c>
      <c r="AC34" t="str" cm="1">
        <f t="array" ref="AC34">_xlfn.SWITCH(AB34,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4" t="str">
        <f t="shared" si="2"/>
        <v>80%</v>
      </c>
      <c r="AE34" t="s">
        <v>622</v>
      </c>
      <c r="AF34" s="8">
        <f t="shared" si="3"/>
        <v>45900</v>
      </c>
      <c r="AG34" s="8">
        <f>_xlfn.XLOOKUP(AE34, Dev!$A:$A, Dev!$B:$B, "")</f>
        <v>45689</v>
      </c>
      <c r="AH34" s="11">
        <f t="shared" si="4"/>
        <v>211</v>
      </c>
    </row>
    <row r="35" spans="1:34" x14ac:dyDescent="0.3">
      <c r="A35" s="1">
        <v>33</v>
      </c>
      <c r="B35" t="s">
        <v>116</v>
      </c>
      <c r="C35">
        <v>104000</v>
      </c>
      <c r="D35">
        <v>83200</v>
      </c>
      <c r="E35" s="2">
        <v>45898</v>
      </c>
      <c r="F35" s="2">
        <v>45898</v>
      </c>
      <c r="G35" t="s">
        <v>114</v>
      </c>
      <c r="H35" t="s">
        <v>117</v>
      </c>
      <c r="I35" t="s">
        <v>27</v>
      </c>
      <c r="J35" s="3">
        <v>45909.599999999999</v>
      </c>
      <c r="K35">
        <f t="shared" si="5"/>
        <v>9</v>
      </c>
      <c r="L35">
        <v>2025</v>
      </c>
      <c r="M35">
        <v>2025</v>
      </c>
      <c r="N35">
        <v>2025</v>
      </c>
      <c r="O35">
        <v>2025</v>
      </c>
      <c r="P35" t="s">
        <v>28</v>
      </c>
      <c r="Q35" t="s">
        <v>29</v>
      </c>
      <c r="R35" s="2">
        <v>44269</v>
      </c>
      <c r="S35">
        <v>4</v>
      </c>
      <c r="T35" t="s">
        <v>30</v>
      </c>
      <c r="U35" t="s">
        <v>41</v>
      </c>
      <c r="V35" t="s">
        <v>32</v>
      </c>
      <c r="W35" t="s">
        <v>117</v>
      </c>
      <c r="X35" t="s">
        <v>33</v>
      </c>
      <c r="Y35" t="s">
        <v>34</v>
      </c>
      <c r="Z35" t="str">
        <f t="shared" si="6"/>
        <v>0-6</v>
      </c>
      <c r="AA35" t="s">
        <v>541</v>
      </c>
      <c r="AB35">
        <v>79</v>
      </c>
      <c r="AC35" t="str" cm="1">
        <f t="array" ref="AC35">_xlfn.SWITCH(AB35,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5" t="str">
        <f t="shared" si="2"/>
        <v>80%</v>
      </c>
      <c r="AE35" t="s">
        <v>622</v>
      </c>
      <c r="AF35" s="8">
        <f t="shared" si="3"/>
        <v>45898</v>
      </c>
      <c r="AG35" s="8">
        <f>_xlfn.XLOOKUP(AE35, Dev!$A:$A, Dev!$B:$B, "")</f>
        <v>45689</v>
      </c>
      <c r="AH35" s="11">
        <f t="shared" si="4"/>
        <v>209</v>
      </c>
    </row>
    <row r="36" spans="1:34" x14ac:dyDescent="0.3">
      <c r="A36" s="1">
        <v>34</v>
      </c>
      <c r="B36" t="s">
        <v>118</v>
      </c>
      <c r="C36">
        <v>72000</v>
      </c>
      <c r="D36">
        <v>25600</v>
      </c>
      <c r="E36" s="2">
        <v>45896</v>
      </c>
      <c r="F36" s="2">
        <v>45896</v>
      </c>
      <c r="G36" t="s">
        <v>114</v>
      </c>
      <c r="H36" t="s">
        <v>119</v>
      </c>
      <c r="I36" t="s">
        <v>27</v>
      </c>
      <c r="J36" s="3">
        <v>45909.59652777778</v>
      </c>
      <c r="K36">
        <f t="shared" si="5"/>
        <v>9</v>
      </c>
      <c r="L36">
        <v>2025</v>
      </c>
      <c r="M36">
        <v>2025</v>
      </c>
      <c r="N36">
        <v>2025</v>
      </c>
      <c r="O36">
        <v>2025</v>
      </c>
      <c r="P36" t="s">
        <v>28</v>
      </c>
      <c r="Q36" t="s">
        <v>29</v>
      </c>
      <c r="R36" s="2">
        <v>44269</v>
      </c>
      <c r="S36">
        <v>4</v>
      </c>
      <c r="T36" t="s">
        <v>30</v>
      </c>
      <c r="U36" t="s">
        <v>41</v>
      </c>
      <c r="V36" t="s">
        <v>32</v>
      </c>
      <c r="W36" t="s">
        <v>119</v>
      </c>
      <c r="X36" t="s">
        <v>33</v>
      </c>
      <c r="Y36" t="s">
        <v>34</v>
      </c>
      <c r="Z36" t="str">
        <f t="shared" si="6"/>
        <v>0-6</v>
      </c>
      <c r="AA36" t="s">
        <v>541</v>
      </c>
      <c r="AB36">
        <v>79</v>
      </c>
      <c r="AC36" t="str" cm="1">
        <f t="array" ref="AC36">_xlfn.SWITCH(AB36,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6" t="str">
        <f t="shared" si="2"/>
        <v>35.56%</v>
      </c>
      <c r="AE36" t="s">
        <v>622</v>
      </c>
      <c r="AF36" s="8">
        <f t="shared" si="3"/>
        <v>45896</v>
      </c>
      <c r="AG36" s="8">
        <f>_xlfn.XLOOKUP(AE36, Dev!$A:$A, Dev!$B:$B, "")</f>
        <v>45689</v>
      </c>
      <c r="AH36" s="11">
        <f t="shared" si="4"/>
        <v>207</v>
      </c>
    </row>
    <row r="37" spans="1:34" x14ac:dyDescent="0.3">
      <c r="A37" s="1">
        <v>35</v>
      </c>
      <c r="B37" t="s">
        <v>120</v>
      </c>
      <c r="C37">
        <v>288000</v>
      </c>
      <c r="D37">
        <v>206400</v>
      </c>
      <c r="E37" s="2">
        <v>45893</v>
      </c>
      <c r="F37" s="2">
        <v>45893</v>
      </c>
      <c r="G37" t="s">
        <v>114</v>
      </c>
      <c r="H37" t="s">
        <v>121</v>
      </c>
      <c r="I37" t="s">
        <v>27</v>
      </c>
      <c r="J37" s="3">
        <v>45909.593055555553</v>
      </c>
      <c r="K37">
        <f t="shared" si="5"/>
        <v>9</v>
      </c>
      <c r="L37">
        <v>2025</v>
      </c>
      <c r="M37">
        <v>2025</v>
      </c>
      <c r="N37">
        <v>2025</v>
      </c>
      <c r="O37">
        <v>2025</v>
      </c>
      <c r="P37" t="s">
        <v>28</v>
      </c>
      <c r="Q37" t="s">
        <v>29</v>
      </c>
      <c r="R37" s="2">
        <v>44269</v>
      </c>
      <c r="S37">
        <v>4</v>
      </c>
      <c r="T37" t="s">
        <v>30</v>
      </c>
      <c r="U37" t="s">
        <v>41</v>
      </c>
      <c r="V37" t="s">
        <v>32</v>
      </c>
      <c r="W37" t="s">
        <v>121</v>
      </c>
      <c r="X37" t="s">
        <v>33</v>
      </c>
      <c r="Y37" t="s">
        <v>34</v>
      </c>
      <c r="Z37" t="str">
        <f t="shared" si="6"/>
        <v>0-6</v>
      </c>
      <c r="AA37" t="s">
        <v>541</v>
      </c>
      <c r="AB37">
        <v>79</v>
      </c>
      <c r="AC37" t="str" cm="1">
        <f t="array" ref="AC37">_xlfn.SWITCH(AB37,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7" t="str">
        <f t="shared" si="2"/>
        <v>71.67%</v>
      </c>
      <c r="AE37" t="s">
        <v>622</v>
      </c>
      <c r="AF37" s="8">
        <f t="shared" si="3"/>
        <v>45893</v>
      </c>
      <c r="AG37" s="8">
        <f>_xlfn.XLOOKUP(AE37, Dev!$A:$A, Dev!$B:$B, "")</f>
        <v>45689</v>
      </c>
      <c r="AH37" s="11">
        <f t="shared" si="4"/>
        <v>204</v>
      </c>
    </row>
    <row r="38" spans="1:34" x14ac:dyDescent="0.3">
      <c r="A38" s="1">
        <v>36</v>
      </c>
      <c r="B38" t="s">
        <v>122</v>
      </c>
      <c r="C38">
        <v>1634324</v>
      </c>
      <c r="D38">
        <v>578200</v>
      </c>
      <c r="E38" s="2">
        <v>45897</v>
      </c>
      <c r="G38" t="s">
        <v>67</v>
      </c>
      <c r="H38" t="s">
        <v>123</v>
      </c>
      <c r="I38" t="s">
        <v>27</v>
      </c>
      <c r="J38" s="3">
        <v>45908.561111111114</v>
      </c>
      <c r="K38">
        <f t="shared" si="5"/>
        <v>9</v>
      </c>
      <c r="L38">
        <v>2025</v>
      </c>
      <c r="M38">
        <v>2025</v>
      </c>
      <c r="N38">
        <v>2025</v>
      </c>
      <c r="O38">
        <v>2025</v>
      </c>
      <c r="P38" t="s">
        <v>28</v>
      </c>
      <c r="Q38" t="s">
        <v>29</v>
      </c>
      <c r="R38" s="2">
        <v>45589</v>
      </c>
      <c r="S38">
        <v>0</v>
      </c>
      <c r="T38" t="s">
        <v>30</v>
      </c>
      <c r="U38" t="s">
        <v>41</v>
      </c>
      <c r="V38" t="s">
        <v>32</v>
      </c>
      <c r="W38" t="s">
        <v>459</v>
      </c>
      <c r="X38" t="s">
        <v>42</v>
      </c>
      <c r="Y38" t="s">
        <v>34</v>
      </c>
      <c r="Z38" t="str">
        <f t="shared" si="6"/>
        <v>0-6</v>
      </c>
      <c r="AA38" t="s">
        <v>559</v>
      </c>
      <c r="AB38">
        <v>79</v>
      </c>
      <c r="AC38" t="str" cm="1">
        <f t="array" ref="AC38">_xlfn.SWITCH(AB38,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8" t="str">
        <f t="shared" si="2"/>
        <v>35.38%</v>
      </c>
      <c r="AE38" t="s">
        <v>640</v>
      </c>
      <c r="AF38" s="8">
        <f t="shared" si="3"/>
        <v>45897</v>
      </c>
      <c r="AG38" s="8">
        <f>_xlfn.XLOOKUP(AE38, Dev!$A:$A, Dev!$B:$B, "")</f>
        <v>45829.619409722225</v>
      </c>
      <c r="AH38" s="11">
        <f t="shared" si="4"/>
        <v>67.3805902777749</v>
      </c>
    </row>
    <row r="39" spans="1:34" x14ac:dyDescent="0.3">
      <c r="A39" s="1">
        <v>37</v>
      </c>
      <c r="B39" t="s">
        <v>124</v>
      </c>
      <c r="C39">
        <v>514000</v>
      </c>
      <c r="D39">
        <v>411200</v>
      </c>
      <c r="E39" s="2">
        <v>45908</v>
      </c>
      <c r="G39" t="s">
        <v>125</v>
      </c>
      <c r="H39" t="s">
        <v>126</v>
      </c>
      <c r="I39" t="s">
        <v>27</v>
      </c>
      <c r="J39" s="3">
        <v>45908.477083333331</v>
      </c>
      <c r="K39">
        <f t="shared" si="5"/>
        <v>9</v>
      </c>
      <c r="L39">
        <v>2025</v>
      </c>
      <c r="M39">
        <v>2025</v>
      </c>
      <c r="N39">
        <v>2025</v>
      </c>
      <c r="O39">
        <v>2025</v>
      </c>
      <c r="P39" t="s">
        <v>28</v>
      </c>
      <c r="Q39" t="s">
        <v>29</v>
      </c>
      <c r="R39" s="2">
        <v>45678</v>
      </c>
      <c r="S39">
        <v>0</v>
      </c>
      <c r="T39" t="s">
        <v>30</v>
      </c>
      <c r="U39" t="s">
        <v>41</v>
      </c>
      <c r="V39" t="s">
        <v>32</v>
      </c>
      <c r="W39" t="s">
        <v>126</v>
      </c>
      <c r="X39" t="s">
        <v>33</v>
      </c>
      <c r="Y39" t="s">
        <v>34</v>
      </c>
      <c r="Z39" t="str">
        <f t="shared" si="6"/>
        <v>0-6</v>
      </c>
      <c r="AA39" t="s">
        <v>560</v>
      </c>
      <c r="AB39">
        <v>75</v>
      </c>
      <c r="AC39" t="str" cm="1">
        <f t="array" ref="AC39">_xlfn.SWITCH(AB39,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39" t="str">
        <f t="shared" si="2"/>
        <v>80%</v>
      </c>
      <c r="AE39" t="s">
        <v>641</v>
      </c>
      <c r="AF39" s="8">
        <f t="shared" si="3"/>
        <v>45908</v>
      </c>
      <c r="AG39" s="8">
        <f>_xlfn.XLOOKUP(AE39, Dev!$A:$A, Dev!$B:$B, "")</f>
        <v>45740.808923611112</v>
      </c>
      <c r="AH39" s="11">
        <f t="shared" si="4"/>
        <v>167.19107638888818</v>
      </c>
    </row>
    <row r="40" spans="1:34" x14ac:dyDescent="0.3">
      <c r="A40" s="1">
        <v>38</v>
      </c>
      <c r="B40" t="s">
        <v>127</v>
      </c>
      <c r="C40">
        <v>7029962</v>
      </c>
      <c r="D40">
        <v>6122514</v>
      </c>
      <c r="E40" s="2">
        <v>45899</v>
      </c>
      <c r="F40" s="2">
        <v>45905</v>
      </c>
      <c r="G40" t="s">
        <v>128</v>
      </c>
      <c r="H40" t="s">
        <v>129</v>
      </c>
      <c r="I40" t="s">
        <v>27</v>
      </c>
      <c r="J40" s="3">
        <v>45908.470138888886</v>
      </c>
      <c r="K40">
        <f t="shared" si="5"/>
        <v>9</v>
      </c>
      <c r="L40">
        <v>2025</v>
      </c>
      <c r="M40">
        <v>2025</v>
      </c>
      <c r="N40">
        <v>2025</v>
      </c>
      <c r="O40">
        <v>2025</v>
      </c>
      <c r="P40" t="s">
        <v>28</v>
      </c>
      <c r="Q40" t="s">
        <v>29</v>
      </c>
      <c r="R40" s="2">
        <v>45509</v>
      </c>
      <c r="S40">
        <v>1</v>
      </c>
      <c r="T40" t="s">
        <v>30</v>
      </c>
      <c r="U40" t="s">
        <v>41</v>
      </c>
      <c r="V40" t="s">
        <v>71</v>
      </c>
      <c r="W40" t="s">
        <v>129</v>
      </c>
      <c r="X40" t="s">
        <v>33</v>
      </c>
      <c r="Y40" t="s">
        <v>34</v>
      </c>
      <c r="Z40" t="str">
        <f t="shared" si="6"/>
        <v>0-6</v>
      </c>
      <c r="AA40" t="s">
        <v>561</v>
      </c>
      <c r="AB40">
        <v>1</v>
      </c>
      <c r="AC40" t="str" cm="1">
        <f t="array" ref="AC40">_xlfn.SWITCH(AB40,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0" t="str">
        <f t="shared" si="2"/>
        <v>87.09%</v>
      </c>
      <c r="AE40" t="s">
        <v>642</v>
      </c>
      <c r="AF40" s="8">
        <f t="shared" si="3"/>
        <v>45899</v>
      </c>
      <c r="AG40" s="8">
        <f>_xlfn.XLOOKUP(AE40, Dev!$A:$A, Dev!$B:$B, "")</f>
        <v>45559.429861111108</v>
      </c>
      <c r="AH40" s="11">
        <f t="shared" si="4"/>
        <v>339.57013888889196</v>
      </c>
    </row>
    <row r="41" spans="1:34" x14ac:dyDescent="0.3">
      <c r="A41" s="1">
        <v>39</v>
      </c>
      <c r="B41" t="s">
        <v>130</v>
      </c>
      <c r="C41">
        <v>1141700</v>
      </c>
      <c r="D41">
        <v>412000</v>
      </c>
      <c r="E41" s="2">
        <v>45899</v>
      </c>
      <c r="F41" s="2">
        <v>45899</v>
      </c>
      <c r="G41" t="s">
        <v>131</v>
      </c>
      <c r="H41" t="s">
        <v>132</v>
      </c>
      <c r="I41" t="s">
        <v>27</v>
      </c>
      <c r="J41" s="3">
        <v>45908.456250000003</v>
      </c>
      <c r="K41">
        <f t="shared" si="5"/>
        <v>9</v>
      </c>
      <c r="L41">
        <v>2025</v>
      </c>
      <c r="M41">
        <v>2025</v>
      </c>
      <c r="N41">
        <v>2025</v>
      </c>
      <c r="O41">
        <v>2025</v>
      </c>
      <c r="P41" t="s">
        <v>28</v>
      </c>
      <c r="Q41" t="s">
        <v>29</v>
      </c>
      <c r="R41" s="2">
        <v>45509</v>
      </c>
      <c r="S41">
        <v>1</v>
      </c>
      <c r="T41" t="s">
        <v>30</v>
      </c>
      <c r="U41" t="s">
        <v>41</v>
      </c>
      <c r="V41" t="s">
        <v>71</v>
      </c>
      <c r="W41" t="s">
        <v>132</v>
      </c>
      <c r="X41" t="s">
        <v>33</v>
      </c>
      <c r="Y41" t="s">
        <v>34</v>
      </c>
      <c r="Z41" t="str">
        <f t="shared" si="6"/>
        <v>0-6</v>
      </c>
      <c r="AA41" t="s">
        <v>561</v>
      </c>
      <c r="AB41">
        <v>1</v>
      </c>
      <c r="AC41" t="str" cm="1">
        <f t="array" ref="AC41">_xlfn.SWITCH(AB41,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1" t="str">
        <f t="shared" si="2"/>
        <v>36.09%</v>
      </c>
      <c r="AE41" t="s">
        <v>642</v>
      </c>
      <c r="AF41" s="8">
        <f t="shared" si="3"/>
        <v>45899</v>
      </c>
      <c r="AG41" s="8">
        <f>_xlfn.XLOOKUP(AE41, Dev!$A:$A, Dev!$B:$B, "")</f>
        <v>45559.429861111108</v>
      </c>
      <c r="AH41" s="11">
        <f t="shared" si="4"/>
        <v>339.57013888889196</v>
      </c>
    </row>
    <row r="42" spans="1:34" x14ac:dyDescent="0.3">
      <c r="A42" s="1">
        <v>40</v>
      </c>
      <c r="B42" t="s">
        <v>133</v>
      </c>
      <c r="C42">
        <v>9217520</v>
      </c>
      <c r="D42">
        <v>6718016</v>
      </c>
      <c r="E42" s="2">
        <v>45894</v>
      </c>
      <c r="F42" s="2">
        <v>45899</v>
      </c>
      <c r="G42" t="s">
        <v>134</v>
      </c>
      <c r="H42" t="s">
        <v>135</v>
      </c>
      <c r="I42" t="s">
        <v>27</v>
      </c>
      <c r="J42" s="3">
        <v>45908.027777777781</v>
      </c>
      <c r="K42">
        <f t="shared" si="5"/>
        <v>9</v>
      </c>
      <c r="L42">
        <v>2025</v>
      </c>
      <c r="M42">
        <v>2025</v>
      </c>
      <c r="N42">
        <v>2025</v>
      </c>
      <c r="O42">
        <v>2025</v>
      </c>
      <c r="P42" t="s">
        <v>28</v>
      </c>
      <c r="Q42" t="s">
        <v>29</v>
      </c>
      <c r="R42" s="2">
        <v>45207</v>
      </c>
      <c r="S42">
        <v>2</v>
      </c>
      <c r="T42" t="s">
        <v>30</v>
      </c>
      <c r="U42" t="s">
        <v>41</v>
      </c>
      <c r="V42" t="s">
        <v>71</v>
      </c>
      <c r="W42" t="s">
        <v>135</v>
      </c>
      <c r="X42" t="s">
        <v>33</v>
      </c>
      <c r="Y42" t="s">
        <v>34</v>
      </c>
      <c r="Z42" t="str">
        <f t="shared" si="6"/>
        <v>0-6</v>
      </c>
      <c r="AA42" t="s">
        <v>562</v>
      </c>
      <c r="AB42">
        <v>1</v>
      </c>
      <c r="AC42" t="str" cm="1">
        <f t="array" ref="AC42">_xlfn.SWITCH(AB42,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2" t="str">
        <f t="shared" si="2"/>
        <v>72.88%</v>
      </c>
      <c r="AE42" t="s">
        <v>643</v>
      </c>
      <c r="AF42" s="8">
        <f t="shared" si="3"/>
        <v>45894</v>
      </c>
      <c r="AG42" s="8">
        <f>_xlfn.XLOOKUP(AE42, Dev!$A:$A, Dev!$B:$B, "")</f>
        <v>45818.8905787037</v>
      </c>
      <c r="AH42" s="11">
        <f t="shared" si="4"/>
        <v>75.109421296299843</v>
      </c>
    </row>
    <row r="43" spans="1:34" x14ac:dyDescent="0.3">
      <c r="A43" s="1">
        <v>41</v>
      </c>
      <c r="B43" t="s">
        <v>136</v>
      </c>
      <c r="C43">
        <v>829650</v>
      </c>
      <c r="D43">
        <v>568650</v>
      </c>
      <c r="E43" s="2">
        <v>45899</v>
      </c>
      <c r="F43" s="2">
        <v>45899</v>
      </c>
      <c r="G43" t="s">
        <v>39</v>
      </c>
      <c r="H43" t="s">
        <v>137</v>
      </c>
      <c r="I43" t="s">
        <v>27</v>
      </c>
      <c r="J43" s="3">
        <v>45906.898611111108</v>
      </c>
      <c r="K43">
        <f t="shared" si="5"/>
        <v>9</v>
      </c>
      <c r="L43">
        <v>2025</v>
      </c>
      <c r="M43">
        <v>2025</v>
      </c>
      <c r="N43">
        <v>2025</v>
      </c>
      <c r="O43">
        <v>2025</v>
      </c>
      <c r="P43" t="s">
        <v>28</v>
      </c>
      <c r="Q43" t="s">
        <v>29</v>
      </c>
      <c r="R43" s="2">
        <v>45566</v>
      </c>
      <c r="S43">
        <v>1</v>
      </c>
      <c r="T43" t="s">
        <v>30</v>
      </c>
      <c r="U43" t="s">
        <v>41</v>
      </c>
      <c r="V43" t="s">
        <v>32</v>
      </c>
      <c r="W43" t="s">
        <v>137</v>
      </c>
      <c r="X43" t="s">
        <v>33</v>
      </c>
      <c r="Y43" t="s">
        <v>34</v>
      </c>
      <c r="Z43" t="str">
        <f t="shared" si="6"/>
        <v>0-6</v>
      </c>
      <c r="AA43" t="s">
        <v>563</v>
      </c>
      <c r="AB43">
        <v>27</v>
      </c>
      <c r="AC43" t="str" cm="1">
        <f t="array" ref="AC43">_xlfn.SWITCH(AB43,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43" t="str">
        <f t="shared" si="2"/>
        <v>68.54%</v>
      </c>
      <c r="AE43" t="s">
        <v>644</v>
      </c>
      <c r="AF43" s="8">
        <f t="shared" si="3"/>
        <v>45899</v>
      </c>
      <c r="AG43" s="8">
        <f>_xlfn.XLOOKUP(AE43, Dev!$A:$A, Dev!$B:$B, "")</f>
        <v>45609.791180555556</v>
      </c>
      <c r="AH43" s="11">
        <f t="shared" si="4"/>
        <v>289.20881944444409</v>
      </c>
    </row>
    <row r="44" spans="1:34" x14ac:dyDescent="0.3">
      <c r="A44" s="1">
        <v>42</v>
      </c>
      <c r="B44" t="s">
        <v>138</v>
      </c>
      <c r="C44">
        <v>1177288</v>
      </c>
      <c r="D44">
        <v>1051310</v>
      </c>
      <c r="E44" s="2">
        <v>45885</v>
      </c>
      <c r="F44" s="2">
        <v>45885</v>
      </c>
      <c r="G44" t="s">
        <v>46</v>
      </c>
      <c r="H44" t="s">
        <v>139</v>
      </c>
      <c r="I44" t="s">
        <v>27</v>
      </c>
      <c r="J44" s="3">
        <v>45906.793749999997</v>
      </c>
      <c r="K44">
        <f t="shared" si="5"/>
        <v>9</v>
      </c>
      <c r="L44">
        <v>2025</v>
      </c>
      <c r="M44">
        <v>2025</v>
      </c>
      <c r="N44">
        <v>2025</v>
      </c>
      <c r="O44">
        <v>2025</v>
      </c>
      <c r="P44" t="s">
        <v>28</v>
      </c>
      <c r="Q44" t="s">
        <v>29</v>
      </c>
      <c r="R44" s="2">
        <v>45187</v>
      </c>
      <c r="S44">
        <v>2</v>
      </c>
      <c r="T44" t="s">
        <v>30</v>
      </c>
      <c r="U44" t="s">
        <v>41</v>
      </c>
      <c r="V44" t="s">
        <v>32</v>
      </c>
      <c r="W44" t="s">
        <v>460</v>
      </c>
      <c r="X44" t="s">
        <v>42</v>
      </c>
      <c r="Y44" t="s">
        <v>34</v>
      </c>
      <c r="Z44" t="str">
        <f t="shared" si="6"/>
        <v>0-6</v>
      </c>
      <c r="AA44" t="s">
        <v>564</v>
      </c>
      <c r="AB44">
        <v>1</v>
      </c>
      <c r="AC44" t="str" cm="1">
        <f t="array" ref="AC44">_xlfn.SWITCH(AB44,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4" t="str">
        <f t="shared" si="2"/>
        <v>89.3%</v>
      </c>
      <c r="AE44" t="s">
        <v>645</v>
      </c>
      <c r="AF44" s="8">
        <f t="shared" si="3"/>
        <v>45885</v>
      </c>
      <c r="AG44" s="8">
        <f>_xlfn.XLOOKUP(AE44, Dev!$A:$A, Dev!$B:$B, "")</f>
        <v>45612</v>
      </c>
      <c r="AH44" s="11">
        <f t="shared" si="4"/>
        <v>273</v>
      </c>
    </row>
    <row r="45" spans="1:34" x14ac:dyDescent="0.3">
      <c r="A45" s="1">
        <v>43</v>
      </c>
      <c r="B45" t="s">
        <v>140</v>
      </c>
      <c r="C45">
        <v>1294440</v>
      </c>
      <c r="D45">
        <v>1200000</v>
      </c>
      <c r="E45" s="2">
        <v>45900</v>
      </c>
      <c r="F45" s="2">
        <v>45900</v>
      </c>
      <c r="G45" t="s">
        <v>46</v>
      </c>
      <c r="H45" t="s">
        <v>141</v>
      </c>
      <c r="I45" t="s">
        <v>27</v>
      </c>
      <c r="J45" s="3">
        <v>45906.779861111114</v>
      </c>
      <c r="K45">
        <f t="shared" si="5"/>
        <v>9</v>
      </c>
      <c r="L45">
        <v>2025</v>
      </c>
      <c r="M45">
        <v>2025</v>
      </c>
      <c r="N45">
        <v>2025</v>
      </c>
      <c r="O45">
        <v>2025</v>
      </c>
      <c r="P45" t="s">
        <v>28</v>
      </c>
      <c r="Q45" t="s">
        <v>29</v>
      </c>
      <c r="R45" s="2">
        <v>45187</v>
      </c>
      <c r="S45">
        <v>2</v>
      </c>
      <c r="T45" t="s">
        <v>30</v>
      </c>
      <c r="U45" t="s">
        <v>31</v>
      </c>
      <c r="V45" t="s">
        <v>32</v>
      </c>
      <c r="W45" t="s">
        <v>461</v>
      </c>
      <c r="X45" t="s">
        <v>42</v>
      </c>
      <c r="Y45" t="s">
        <v>34</v>
      </c>
      <c r="Z45" t="str">
        <f t="shared" si="6"/>
        <v>0-6</v>
      </c>
      <c r="AA45" t="s">
        <v>565</v>
      </c>
      <c r="AB45">
        <v>1</v>
      </c>
      <c r="AC45" t="str" cm="1">
        <f t="array" ref="AC45">_xlfn.SWITCH(AB45,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5" t="str">
        <f t="shared" si="2"/>
        <v>92.7%</v>
      </c>
      <c r="AE45" t="s">
        <v>646</v>
      </c>
      <c r="AF45" s="8">
        <f t="shared" si="3"/>
        <v>45900</v>
      </c>
      <c r="AG45" s="8">
        <f>_xlfn.XLOOKUP(AE45, Dev!$A:$A, Dev!$B:$B, "")</f>
        <v>45612</v>
      </c>
      <c r="AH45" s="11">
        <f t="shared" si="4"/>
        <v>288</v>
      </c>
    </row>
    <row r="46" spans="1:34" x14ac:dyDescent="0.3">
      <c r="A46" s="1">
        <v>44</v>
      </c>
      <c r="B46" t="s">
        <v>142</v>
      </c>
      <c r="C46">
        <v>1062711</v>
      </c>
      <c r="D46">
        <v>740711</v>
      </c>
      <c r="E46" s="2">
        <v>45906</v>
      </c>
      <c r="G46" t="s">
        <v>106</v>
      </c>
      <c r="H46" t="s">
        <v>143</v>
      </c>
      <c r="I46" t="s">
        <v>27</v>
      </c>
      <c r="J46" s="3">
        <v>45906.759722222225</v>
      </c>
      <c r="K46">
        <f t="shared" si="5"/>
        <v>9</v>
      </c>
      <c r="L46">
        <v>2025</v>
      </c>
      <c r="M46">
        <v>2025</v>
      </c>
      <c r="N46">
        <v>2025</v>
      </c>
      <c r="O46">
        <v>2025</v>
      </c>
      <c r="P46" t="s">
        <v>28</v>
      </c>
      <c r="Q46" t="s">
        <v>29</v>
      </c>
      <c r="R46" s="2">
        <v>45650</v>
      </c>
      <c r="S46">
        <v>0</v>
      </c>
      <c r="T46" t="s">
        <v>30</v>
      </c>
      <c r="U46" t="s">
        <v>31</v>
      </c>
      <c r="V46" t="s">
        <v>32</v>
      </c>
      <c r="W46" t="s">
        <v>143</v>
      </c>
      <c r="X46" t="s">
        <v>33</v>
      </c>
      <c r="Y46" t="s">
        <v>34</v>
      </c>
      <c r="Z46" t="str">
        <f t="shared" si="6"/>
        <v>0-6</v>
      </c>
      <c r="AA46" t="s">
        <v>557</v>
      </c>
      <c r="AB46">
        <v>48</v>
      </c>
      <c r="AC46" t="str" cm="1">
        <f t="array" ref="AC46">_xlfn.SWITCH(AB46,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Đà Nẵng</v>
      </c>
      <c r="AD46" t="str">
        <f t="shared" si="2"/>
        <v>69.7%</v>
      </c>
      <c r="AE46" t="s">
        <v>638</v>
      </c>
      <c r="AF46" s="8">
        <f t="shared" si="3"/>
        <v>45906</v>
      </c>
      <c r="AG46" s="8">
        <f>_xlfn.XLOOKUP(AE46, Dev!$A:$A, Dev!$B:$B, "")</f>
        <v>45718.405949074076</v>
      </c>
      <c r="AH46" s="11">
        <f t="shared" si="4"/>
        <v>187.59405092592351</v>
      </c>
    </row>
    <row r="47" spans="1:34" x14ac:dyDescent="0.3">
      <c r="A47" s="1">
        <v>45</v>
      </c>
      <c r="B47" t="s">
        <v>144</v>
      </c>
      <c r="C47">
        <v>447</v>
      </c>
      <c r="D47">
        <v>357993</v>
      </c>
      <c r="E47" s="2">
        <v>45906</v>
      </c>
      <c r="G47" t="s">
        <v>25</v>
      </c>
      <c r="H47" t="s">
        <v>100</v>
      </c>
      <c r="I47" t="s">
        <v>27</v>
      </c>
      <c r="J47" s="3">
        <v>45906.568749999999</v>
      </c>
      <c r="K47">
        <f t="shared" si="5"/>
        <v>9</v>
      </c>
      <c r="L47">
        <v>2025</v>
      </c>
      <c r="M47">
        <v>2025</v>
      </c>
      <c r="N47">
        <v>2025</v>
      </c>
      <c r="O47">
        <v>2025</v>
      </c>
      <c r="P47" t="s">
        <v>28</v>
      </c>
      <c r="Q47" t="s">
        <v>29</v>
      </c>
      <c r="R47" s="2">
        <v>44634</v>
      </c>
      <c r="S47">
        <v>3</v>
      </c>
      <c r="T47" t="s">
        <v>30</v>
      </c>
      <c r="U47" t="s">
        <v>31</v>
      </c>
      <c r="V47" t="s">
        <v>32</v>
      </c>
      <c r="W47" t="s">
        <v>100</v>
      </c>
      <c r="X47" t="s">
        <v>33</v>
      </c>
      <c r="Y47" t="s">
        <v>34</v>
      </c>
      <c r="Z47" t="str">
        <f t="shared" si="6"/>
        <v>0-6</v>
      </c>
      <c r="AA47" t="s">
        <v>556</v>
      </c>
      <c r="AB47">
        <v>79</v>
      </c>
      <c r="AC47" t="str" cm="1">
        <f t="array" ref="AC47">_xlfn.SWITCH(AB47,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47" t="str">
        <f t="shared" si="2"/>
        <v>80087.92%</v>
      </c>
      <c r="AE47" t="s">
        <v>637</v>
      </c>
      <c r="AF47" s="8">
        <f t="shared" si="3"/>
        <v>45906</v>
      </c>
      <c r="AG47" s="8">
        <f>_xlfn.XLOOKUP(AE47, Dev!$A:$A, Dev!$B:$B, "")</f>
        <v>45749.551354166666</v>
      </c>
      <c r="AH47" s="11">
        <f t="shared" si="4"/>
        <v>156.44864583333401</v>
      </c>
    </row>
    <row r="48" spans="1:34" x14ac:dyDescent="0.3">
      <c r="A48" s="1">
        <v>46</v>
      </c>
      <c r="B48" t="s">
        <v>145</v>
      </c>
      <c r="C48">
        <v>6016820</v>
      </c>
      <c r="D48">
        <v>1224889</v>
      </c>
      <c r="E48" s="2">
        <v>45891</v>
      </c>
      <c r="F48" s="2">
        <v>45896</v>
      </c>
      <c r="G48" t="s">
        <v>146</v>
      </c>
      <c r="H48" t="s">
        <v>147</v>
      </c>
      <c r="I48" t="s">
        <v>27</v>
      </c>
      <c r="J48" s="3">
        <v>45906.456944444442</v>
      </c>
      <c r="K48">
        <f t="shared" si="5"/>
        <v>9</v>
      </c>
      <c r="L48">
        <v>2025</v>
      </c>
      <c r="M48">
        <v>2025</v>
      </c>
      <c r="N48">
        <v>2025</v>
      </c>
      <c r="O48">
        <v>2025</v>
      </c>
      <c r="P48" t="s">
        <v>28</v>
      </c>
      <c r="Q48" t="s">
        <v>29</v>
      </c>
      <c r="R48" s="2">
        <v>32958</v>
      </c>
      <c r="S48">
        <v>35</v>
      </c>
      <c r="T48" t="s">
        <v>148</v>
      </c>
      <c r="U48" t="s">
        <v>31</v>
      </c>
      <c r="V48" t="s">
        <v>71</v>
      </c>
      <c r="W48" t="s">
        <v>462</v>
      </c>
      <c r="X48" t="s">
        <v>149</v>
      </c>
      <c r="Y48" t="s">
        <v>150</v>
      </c>
      <c r="Z48" t="str">
        <f t="shared" si="6"/>
        <v>18-35</v>
      </c>
      <c r="AA48" t="s">
        <v>566</v>
      </c>
      <c r="AB48">
        <v>1</v>
      </c>
      <c r="AC48" t="str" cm="1">
        <f t="array" ref="AC48">_xlfn.SWITCH(AB48,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8" t="str">
        <f t="shared" si="2"/>
        <v>20.36%</v>
      </c>
      <c r="AE48" t="s">
        <v>647</v>
      </c>
      <c r="AF48" s="8">
        <f t="shared" si="3"/>
        <v>45891</v>
      </c>
      <c r="AG48" s="8">
        <f>_xlfn.XLOOKUP(AE48, Dev!$A:$A, Dev!$B:$B, "")</f>
        <v>45848.388784722221</v>
      </c>
      <c r="AH48" s="11">
        <f t="shared" si="4"/>
        <v>42.611215277778683</v>
      </c>
    </row>
    <row r="49" spans="1:34" x14ac:dyDescent="0.3">
      <c r="A49" s="1">
        <v>47</v>
      </c>
      <c r="B49" t="s">
        <v>151</v>
      </c>
      <c r="C49">
        <v>482700</v>
      </c>
      <c r="D49">
        <v>19434</v>
      </c>
      <c r="E49" s="2">
        <v>45904</v>
      </c>
      <c r="F49" s="2">
        <v>45904</v>
      </c>
      <c r="G49" t="s">
        <v>93</v>
      </c>
      <c r="H49" t="s">
        <v>152</v>
      </c>
      <c r="I49" t="s">
        <v>27</v>
      </c>
      <c r="J49" s="3">
        <v>45905.959027777775</v>
      </c>
      <c r="K49">
        <f t="shared" si="5"/>
        <v>9</v>
      </c>
      <c r="L49">
        <v>2025</v>
      </c>
      <c r="M49">
        <v>2025</v>
      </c>
      <c r="N49">
        <v>2025</v>
      </c>
      <c r="O49">
        <v>2025</v>
      </c>
      <c r="P49" t="s">
        <v>28</v>
      </c>
      <c r="Q49" t="s">
        <v>29</v>
      </c>
      <c r="R49" s="2">
        <v>45609</v>
      </c>
      <c r="S49">
        <v>0</v>
      </c>
      <c r="T49" t="s">
        <v>30</v>
      </c>
      <c r="U49" t="s">
        <v>41</v>
      </c>
      <c r="V49" t="s">
        <v>32</v>
      </c>
      <c r="W49" t="s">
        <v>463</v>
      </c>
      <c r="X49" t="s">
        <v>78</v>
      </c>
      <c r="Y49" t="s">
        <v>34</v>
      </c>
      <c r="Z49" t="str">
        <f t="shared" si="6"/>
        <v>0-6</v>
      </c>
      <c r="AA49" t="s">
        <v>567</v>
      </c>
      <c r="AB49">
        <v>75</v>
      </c>
      <c r="AC49" t="str" cm="1">
        <f t="array" ref="AC49">_xlfn.SWITCH(AB49,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49" t="str">
        <f t="shared" si="2"/>
        <v>4.03%</v>
      </c>
      <c r="AE49" t="s">
        <v>648</v>
      </c>
      <c r="AF49" s="8">
        <f t="shared" si="3"/>
        <v>45904</v>
      </c>
      <c r="AG49" s="8">
        <f>_xlfn.XLOOKUP(AE49, Dev!$A:$A, Dev!$B:$B, "")</f>
        <v>45729.416770833333</v>
      </c>
      <c r="AH49" s="11">
        <f t="shared" si="4"/>
        <v>174.58322916666657</v>
      </c>
    </row>
    <row r="50" spans="1:34" x14ac:dyDescent="0.3">
      <c r="A50" s="1">
        <v>48</v>
      </c>
      <c r="B50" t="s">
        <v>153</v>
      </c>
      <c r="C50">
        <v>374170</v>
      </c>
      <c r="D50">
        <v>299336</v>
      </c>
      <c r="E50" s="2">
        <v>45900</v>
      </c>
      <c r="F50" s="2">
        <v>45900</v>
      </c>
      <c r="G50" t="s">
        <v>154</v>
      </c>
      <c r="H50" t="s">
        <v>155</v>
      </c>
      <c r="I50" t="s">
        <v>27</v>
      </c>
      <c r="J50" s="3">
        <v>45905.810416666667</v>
      </c>
      <c r="K50">
        <f t="shared" si="5"/>
        <v>9</v>
      </c>
      <c r="L50">
        <v>2025</v>
      </c>
      <c r="M50">
        <v>2025</v>
      </c>
      <c r="N50">
        <v>2025</v>
      </c>
      <c r="O50">
        <v>2025</v>
      </c>
      <c r="P50" t="s">
        <v>28</v>
      </c>
      <c r="Q50" t="s">
        <v>29</v>
      </c>
      <c r="R50" s="2">
        <v>44833</v>
      </c>
      <c r="S50">
        <v>3</v>
      </c>
      <c r="T50" t="s">
        <v>30</v>
      </c>
      <c r="U50" t="s">
        <v>41</v>
      </c>
      <c r="V50" t="s">
        <v>32</v>
      </c>
      <c r="W50" t="s">
        <v>155</v>
      </c>
      <c r="X50" t="s">
        <v>42</v>
      </c>
      <c r="Y50" t="s">
        <v>34</v>
      </c>
      <c r="Z50" t="str">
        <f t="shared" si="6"/>
        <v>0-6</v>
      </c>
      <c r="AA50" t="s">
        <v>568</v>
      </c>
      <c r="AB50">
        <v>79</v>
      </c>
      <c r="AC50" t="str" cm="1">
        <f t="array" ref="AC50">_xlfn.SWITCH(AB50,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0" t="str">
        <f t="shared" si="2"/>
        <v>80%</v>
      </c>
      <c r="AE50" t="s">
        <v>649</v>
      </c>
      <c r="AF50" s="8">
        <f t="shared" si="3"/>
        <v>45900</v>
      </c>
      <c r="AG50" s="8">
        <f>_xlfn.XLOOKUP(AE50, Dev!$A:$A, Dev!$B:$B, "")</f>
        <v>45649</v>
      </c>
      <c r="AH50" s="11">
        <f t="shared" si="4"/>
        <v>251</v>
      </c>
    </row>
    <row r="51" spans="1:34" x14ac:dyDescent="0.3">
      <c r="A51" s="1">
        <v>49</v>
      </c>
      <c r="B51" t="s">
        <v>156</v>
      </c>
      <c r="C51">
        <v>2029513</v>
      </c>
      <c r="D51">
        <v>640000</v>
      </c>
      <c r="E51" s="2">
        <v>45897</v>
      </c>
      <c r="F51" s="2">
        <v>45897</v>
      </c>
      <c r="G51" t="s">
        <v>154</v>
      </c>
      <c r="H51" t="s">
        <v>157</v>
      </c>
      <c r="I51" t="s">
        <v>27</v>
      </c>
      <c r="J51" s="3">
        <v>45905.804166666669</v>
      </c>
      <c r="K51">
        <f t="shared" si="5"/>
        <v>9</v>
      </c>
      <c r="L51">
        <v>2025</v>
      </c>
      <c r="M51">
        <v>2025</v>
      </c>
      <c r="N51">
        <v>2025</v>
      </c>
      <c r="O51">
        <v>2025</v>
      </c>
      <c r="P51" t="s">
        <v>28</v>
      </c>
      <c r="Q51" t="s">
        <v>29</v>
      </c>
      <c r="R51" s="2">
        <v>44833</v>
      </c>
      <c r="S51">
        <v>3</v>
      </c>
      <c r="T51" t="s">
        <v>30</v>
      </c>
      <c r="U51" t="s">
        <v>41</v>
      </c>
      <c r="V51" t="s">
        <v>32</v>
      </c>
      <c r="W51" t="s">
        <v>157</v>
      </c>
      <c r="X51" t="s">
        <v>33</v>
      </c>
      <c r="Y51" t="s">
        <v>34</v>
      </c>
      <c r="Z51" t="str">
        <f t="shared" si="6"/>
        <v>0-6</v>
      </c>
      <c r="AA51" t="s">
        <v>568</v>
      </c>
      <c r="AB51">
        <v>79</v>
      </c>
      <c r="AC51" t="str" cm="1">
        <f t="array" ref="AC51">_xlfn.SWITCH(AB51,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1" t="str">
        <f t="shared" si="2"/>
        <v>31.53%</v>
      </c>
      <c r="AE51" t="s">
        <v>649</v>
      </c>
      <c r="AF51" s="8">
        <f t="shared" si="3"/>
        <v>45897</v>
      </c>
      <c r="AG51" s="8">
        <f>_xlfn.XLOOKUP(AE51, Dev!$A:$A, Dev!$B:$B, "")</f>
        <v>45649</v>
      </c>
      <c r="AH51" s="11">
        <f t="shared" si="4"/>
        <v>248</v>
      </c>
    </row>
    <row r="52" spans="1:34" x14ac:dyDescent="0.3">
      <c r="A52" s="1">
        <v>50</v>
      </c>
      <c r="B52" t="s">
        <v>158</v>
      </c>
      <c r="C52">
        <v>411900</v>
      </c>
      <c r="D52">
        <v>329520</v>
      </c>
      <c r="E52" s="2">
        <v>45893</v>
      </c>
      <c r="F52" s="2">
        <v>45893</v>
      </c>
      <c r="G52" t="s">
        <v>154</v>
      </c>
      <c r="H52" t="s">
        <v>159</v>
      </c>
      <c r="I52" t="s">
        <v>27</v>
      </c>
      <c r="J52" s="3">
        <v>45905.722222222219</v>
      </c>
      <c r="K52">
        <f t="shared" si="5"/>
        <v>9</v>
      </c>
      <c r="L52">
        <v>2025</v>
      </c>
      <c r="M52">
        <v>2025</v>
      </c>
      <c r="N52">
        <v>2025</v>
      </c>
      <c r="O52">
        <v>2025</v>
      </c>
      <c r="P52" t="s">
        <v>28</v>
      </c>
      <c r="Q52" t="s">
        <v>29</v>
      </c>
      <c r="R52" s="2">
        <v>44833</v>
      </c>
      <c r="S52">
        <v>3</v>
      </c>
      <c r="T52" t="s">
        <v>30</v>
      </c>
      <c r="U52" t="s">
        <v>41</v>
      </c>
      <c r="V52" t="s">
        <v>32</v>
      </c>
      <c r="W52" t="s">
        <v>159</v>
      </c>
      <c r="X52" t="s">
        <v>42</v>
      </c>
      <c r="Y52" t="s">
        <v>34</v>
      </c>
      <c r="Z52" t="str">
        <f t="shared" si="6"/>
        <v>0-6</v>
      </c>
      <c r="AA52" t="s">
        <v>568</v>
      </c>
      <c r="AB52">
        <v>79</v>
      </c>
      <c r="AC52" t="str" cm="1">
        <f t="array" ref="AC52">_xlfn.SWITCH(AB52,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2" t="str">
        <f t="shared" si="2"/>
        <v>80%</v>
      </c>
      <c r="AE52" t="s">
        <v>649</v>
      </c>
      <c r="AF52" s="8">
        <f t="shared" si="3"/>
        <v>45893</v>
      </c>
      <c r="AG52" s="8">
        <f>_xlfn.XLOOKUP(AE52, Dev!$A:$A, Dev!$B:$B, "")</f>
        <v>45649</v>
      </c>
      <c r="AH52" s="11">
        <f t="shared" si="4"/>
        <v>244</v>
      </c>
    </row>
    <row r="53" spans="1:34" x14ac:dyDescent="0.3">
      <c r="A53" s="1">
        <v>51</v>
      </c>
      <c r="B53" t="s">
        <v>160</v>
      </c>
      <c r="C53">
        <v>346440</v>
      </c>
      <c r="D53">
        <v>277152</v>
      </c>
      <c r="E53" s="2">
        <v>45878</v>
      </c>
      <c r="F53" s="2">
        <v>45878</v>
      </c>
      <c r="G53" t="s">
        <v>154</v>
      </c>
      <c r="H53" t="s">
        <v>161</v>
      </c>
      <c r="I53" t="s">
        <v>27</v>
      </c>
      <c r="J53" s="3">
        <v>45905.718055555553</v>
      </c>
      <c r="K53">
        <f t="shared" si="5"/>
        <v>9</v>
      </c>
      <c r="L53">
        <v>2025</v>
      </c>
      <c r="M53">
        <v>2025</v>
      </c>
      <c r="N53">
        <v>2025</v>
      </c>
      <c r="O53">
        <v>2025</v>
      </c>
      <c r="P53" t="s">
        <v>28</v>
      </c>
      <c r="Q53" t="s">
        <v>29</v>
      </c>
      <c r="R53" s="2">
        <v>44833</v>
      </c>
      <c r="S53">
        <v>3</v>
      </c>
      <c r="T53" t="s">
        <v>30</v>
      </c>
      <c r="U53" t="s">
        <v>41</v>
      </c>
      <c r="V53" t="s">
        <v>32</v>
      </c>
      <c r="W53" t="s">
        <v>464</v>
      </c>
      <c r="X53" t="s">
        <v>42</v>
      </c>
      <c r="Y53" t="s">
        <v>34</v>
      </c>
      <c r="Z53" t="str">
        <f t="shared" si="6"/>
        <v>0-6</v>
      </c>
      <c r="AA53" t="s">
        <v>568</v>
      </c>
      <c r="AB53">
        <v>79</v>
      </c>
      <c r="AC53" t="str" cm="1">
        <f t="array" ref="AC53">_xlfn.SWITCH(AB53,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3" t="str">
        <f t="shared" si="2"/>
        <v>80%</v>
      </c>
      <c r="AE53" t="s">
        <v>649</v>
      </c>
      <c r="AF53" s="8">
        <f t="shared" si="3"/>
        <v>45878</v>
      </c>
      <c r="AG53" s="8">
        <f>_xlfn.XLOOKUP(AE53, Dev!$A:$A, Dev!$B:$B, "")</f>
        <v>45649</v>
      </c>
      <c r="AH53" s="11">
        <f t="shared" si="4"/>
        <v>229</v>
      </c>
    </row>
    <row r="54" spans="1:34" x14ac:dyDescent="0.3">
      <c r="A54" s="1">
        <v>52</v>
      </c>
      <c r="B54" t="s">
        <v>162</v>
      </c>
      <c r="C54">
        <v>912097</v>
      </c>
      <c r="D54">
        <v>650810</v>
      </c>
      <c r="E54" s="2">
        <v>45884</v>
      </c>
      <c r="F54" s="2">
        <v>45884</v>
      </c>
      <c r="G54" t="s">
        <v>39</v>
      </c>
      <c r="H54" t="s">
        <v>163</v>
      </c>
      <c r="I54" t="s">
        <v>27</v>
      </c>
      <c r="J54" s="3">
        <v>45905.599999999999</v>
      </c>
      <c r="K54">
        <f t="shared" si="5"/>
        <v>9</v>
      </c>
      <c r="L54">
        <v>2025</v>
      </c>
      <c r="M54">
        <v>2025</v>
      </c>
      <c r="N54">
        <v>2025</v>
      </c>
      <c r="O54">
        <v>2025</v>
      </c>
      <c r="P54" t="s">
        <v>28</v>
      </c>
      <c r="Q54" t="s">
        <v>29</v>
      </c>
      <c r="R54" s="2">
        <v>45676</v>
      </c>
      <c r="S54">
        <v>0</v>
      </c>
      <c r="T54" t="s">
        <v>30</v>
      </c>
      <c r="U54" t="s">
        <v>31</v>
      </c>
      <c r="V54" t="s">
        <v>32</v>
      </c>
      <c r="W54" t="s">
        <v>163</v>
      </c>
      <c r="X54" t="s">
        <v>33</v>
      </c>
      <c r="Y54" t="s">
        <v>34</v>
      </c>
      <c r="Z54" t="str">
        <f t="shared" si="6"/>
        <v>0-6</v>
      </c>
      <c r="AA54" t="s">
        <v>569</v>
      </c>
      <c r="AB54">
        <v>1</v>
      </c>
      <c r="AC54" t="str" cm="1">
        <f t="array" ref="AC54">_xlfn.SWITCH(AB54,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54" t="str">
        <f t="shared" si="2"/>
        <v>71.35%</v>
      </c>
      <c r="AE54" t="s">
        <v>650</v>
      </c>
      <c r="AF54" s="8">
        <f t="shared" si="3"/>
        <v>45884</v>
      </c>
      <c r="AG54" s="8">
        <f>_xlfn.XLOOKUP(AE54, Dev!$A:$A, Dev!$B:$B, "")</f>
        <v>45763.86923611111</v>
      </c>
      <c r="AH54" s="11">
        <f t="shared" si="4"/>
        <v>120.13076388889021</v>
      </c>
    </row>
    <row r="55" spans="1:34" x14ac:dyDescent="0.3">
      <c r="A55" s="1">
        <v>53</v>
      </c>
      <c r="B55" t="s">
        <v>164</v>
      </c>
      <c r="C55">
        <v>77300</v>
      </c>
      <c r="D55">
        <v>45000</v>
      </c>
      <c r="E55" s="2">
        <v>45880</v>
      </c>
      <c r="F55" s="2">
        <v>45880</v>
      </c>
      <c r="G55" t="s">
        <v>165</v>
      </c>
      <c r="H55" t="s">
        <v>166</v>
      </c>
      <c r="I55" t="s">
        <v>27</v>
      </c>
      <c r="J55" s="3">
        <v>45905.527777777781</v>
      </c>
      <c r="K55">
        <f t="shared" si="5"/>
        <v>9</v>
      </c>
      <c r="L55">
        <v>2025</v>
      </c>
      <c r="M55">
        <v>2025</v>
      </c>
      <c r="N55">
        <v>2025</v>
      </c>
      <c r="O55">
        <v>2025</v>
      </c>
      <c r="P55" t="s">
        <v>28</v>
      </c>
      <c r="Q55" t="s">
        <v>29</v>
      </c>
      <c r="R55" s="2">
        <v>45090</v>
      </c>
      <c r="S55">
        <v>2</v>
      </c>
      <c r="T55" t="s">
        <v>30</v>
      </c>
      <c r="U55" t="s">
        <v>31</v>
      </c>
      <c r="V55" t="s">
        <v>32</v>
      </c>
      <c r="W55" t="s">
        <v>465</v>
      </c>
      <c r="X55" t="s">
        <v>42</v>
      </c>
      <c r="Y55" t="s">
        <v>34</v>
      </c>
      <c r="Z55" t="str">
        <f t="shared" si="6"/>
        <v>0-6</v>
      </c>
      <c r="AA55" t="s">
        <v>570</v>
      </c>
      <c r="AB55">
        <v>79</v>
      </c>
      <c r="AC55" t="str" cm="1">
        <f t="array" ref="AC55">_xlfn.SWITCH(AB55,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5" t="str">
        <f t="shared" si="2"/>
        <v>58.21%</v>
      </c>
      <c r="AE55" t="s">
        <v>651</v>
      </c>
      <c r="AF55" s="8">
        <f t="shared" si="3"/>
        <v>45880</v>
      </c>
      <c r="AG55" s="8">
        <f>_xlfn.XLOOKUP(AE55, Dev!$A:$A, Dev!$B:$B, "")</f>
        <v>45576.580300925925</v>
      </c>
      <c r="AH55" s="11">
        <f t="shared" si="4"/>
        <v>303.41969907407474</v>
      </c>
    </row>
    <row r="56" spans="1:34" x14ac:dyDescent="0.3">
      <c r="A56" s="1">
        <v>54</v>
      </c>
      <c r="B56" t="s">
        <v>167</v>
      </c>
      <c r="C56">
        <v>439990</v>
      </c>
      <c r="D56">
        <v>345939</v>
      </c>
      <c r="E56" s="2">
        <v>45879</v>
      </c>
      <c r="F56" s="2">
        <v>45879</v>
      </c>
      <c r="G56" t="s">
        <v>165</v>
      </c>
      <c r="H56" t="s">
        <v>166</v>
      </c>
      <c r="I56" t="s">
        <v>27</v>
      </c>
      <c r="J56" s="3">
        <v>45905.525000000001</v>
      </c>
      <c r="K56">
        <f t="shared" si="5"/>
        <v>9</v>
      </c>
      <c r="L56">
        <v>2025</v>
      </c>
      <c r="M56">
        <v>2025</v>
      </c>
      <c r="N56">
        <v>2025</v>
      </c>
      <c r="O56">
        <v>2025</v>
      </c>
      <c r="P56" t="s">
        <v>28</v>
      </c>
      <c r="Q56" t="s">
        <v>29</v>
      </c>
      <c r="R56" s="2">
        <v>45090</v>
      </c>
      <c r="S56">
        <v>2</v>
      </c>
      <c r="T56" t="s">
        <v>30</v>
      </c>
      <c r="U56" t="s">
        <v>31</v>
      </c>
      <c r="V56" t="s">
        <v>32</v>
      </c>
      <c r="W56" t="s">
        <v>465</v>
      </c>
      <c r="X56" t="s">
        <v>42</v>
      </c>
      <c r="Y56" t="s">
        <v>34</v>
      </c>
      <c r="Z56" t="str">
        <f t="shared" si="6"/>
        <v>0-6</v>
      </c>
      <c r="AA56" t="s">
        <v>570</v>
      </c>
      <c r="AB56">
        <v>79</v>
      </c>
      <c r="AC56" t="str" cm="1">
        <f t="array" ref="AC56">_xlfn.SWITCH(AB56,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6" t="str">
        <f t="shared" si="2"/>
        <v>78.62%</v>
      </c>
      <c r="AE56" t="s">
        <v>651</v>
      </c>
      <c r="AF56" s="8">
        <f t="shared" si="3"/>
        <v>45879</v>
      </c>
      <c r="AG56" s="8">
        <f>_xlfn.XLOOKUP(AE56, Dev!$A:$A, Dev!$B:$B, "")</f>
        <v>45576.580300925925</v>
      </c>
      <c r="AH56" s="11">
        <f t="shared" si="4"/>
        <v>302.41969907407474</v>
      </c>
    </row>
    <row r="57" spans="1:34" x14ac:dyDescent="0.3">
      <c r="A57" s="1">
        <v>55</v>
      </c>
      <c r="B57" t="s">
        <v>168</v>
      </c>
      <c r="C57">
        <v>5883000</v>
      </c>
      <c r="D57">
        <v>5150021</v>
      </c>
      <c r="E57" s="2">
        <v>45894</v>
      </c>
      <c r="F57" s="2">
        <v>45901</v>
      </c>
      <c r="G57" t="s">
        <v>128</v>
      </c>
      <c r="H57" t="s">
        <v>169</v>
      </c>
      <c r="I57" t="s">
        <v>27</v>
      </c>
      <c r="J57" s="3">
        <v>45905.445833333331</v>
      </c>
      <c r="K57">
        <f t="shared" si="5"/>
        <v>9</v>
      </c>
      <c r="L57">
        <v>2025</v>
      </c>
      <c r="M57">
        <v>2025</v>
      </c>
      <c r="N57">
        <v>2025</v>
      </c>
      <c r="O57">
        <v>2025</v>
      </c>
      <c r="P57" t="s">
        <v>28</v>
      </c>
      <c r="Q57" t="s">
        <v>29</v>
      </c>
      <c r="R57" s="2">
        <v>45632</v>
      </c>
      <c r="S57">
        <v>0</v>
      </c>
      <c r="T57" t="s">
        <v>30</v>
      </c>
      <c r="U57" t="s">
        <v>31</v>
      </c>
      <c r="V57" t="s">
        <v>71</v>
      </c>
      <c r="W57" t="s">
        <v>169</v>
      </c>
      <c r="X57" t="s">
        <v>33</v>
      </c>
      <c r="Y57" t="s">
        <v>34</v>
      </c>
      <c r="Z57" t="str">
        <f t="shared" si="6"/>
        <v>0-6</v>
      </c>
      <c r="AA57" t="s">
        <v>571</v>
      </c>
      <c r="AB57">
        <v>1</v>
      </c>
      <c r="AC57" t="str" cm="1">
        <f t="array" ref="AC57">_xlfn.SWITCH(AB57,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57" t="str">
        <f t="shared" si="2"/>
        <v>87.54%</v>
      </c>
      <c r="AE57" t="s">
        <v>652</v>
      </c>
      <c r="AF57" s="8">
        <f t="shared" si="3"/>
        <v>45894</v>
      </c>
      <c r="AG57" s="8">
        <f>_xlfn.XLOOKUP(AE57, Dev!$A:$A, Dev!$B:$B, "")</f>
        <v>45713.408946759257</v>
      </c>
      <c r="AH57" s="11">
        <f t="shared" si="4"/>
        <v>180.59105324074335</v>
      </c>
    </row>
    <row r="58" spans="1:34" x14ac:dyDescent="0.3">
      <c r="A58" s="1">
        <v>56</v>
      </c>
      <c r="B58" t="s">
        <v>170</v>
      </c>
      <c r="C58">
        <v>506104</v>
      </c>
      <c r="D58">
        <v>449560</v>
      </c>
      <c r="E58" s="2">
        <v>45903</v>
      </c>
      <c r="F58" s="2">
        <v>45903</v>
      </c>
      <c r="G58" t="s">
        <v>67</v>
      </c>
      <c r="H58" t="s">
        <v>171</v>
      </c>
      <c r="I58" t="s">
        <v>27</v>
      </c>
      <c r="J58" s="3">
        <v>45904.919444444444</v>
      </c>
      <c r="K58">
        <f t="shared" si="5"/>
        <v>9</v>
      </c>
      <c r="L58">
        <v>2025</v>
      </c>
      <c r="M58">
        <v>2025</v>
      </c>
      <c r="N58">
        <v>2025</v>
      </c>
      <c r="O58">
        <v>2025</v>
      </c>
      <c r="P58" t="s">
        <v>28</v>
      </c>
      <c r="Q58" t="s">
        <v>29</v>
      </c>
      <c r="R58" s="2">
        <v>45609</v>
      </c>
      <c r="S58">
        <v>0</v>
      </c>
      <c r="T58" t="s">
        <v>30</v>
      </c>
      <c r="U58" t="s">
        <v>41</v>
      </c>
      <c r="V58" t="s">
        <v>32</v>
      </c>
      <c r="W58" t="s">
        <v>466</v>
      </c>
      <c r="X58" t="s">
        <v>37</v>
      </c>
      <c r="Y58" t="s">
        <v>34</v>
      </c>
      <c r="Z58" t="str">
        <f t="shared" si="6"/>
        <v>0-6</v>
      </c>
      <c r="AA58" t="s">
        <v>567</v>
      </c>
      <c r="AB58">
        <v>75</v>
      </c>
      <c r="AC58" t="str" cm="1">
        <f t="array" ref="AC58">_xlfn.SWITCH(AB58,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58" t="str">
        <f t="shared" si="2"/>
        <v>88.83%</v>
      </c>
      <c r="AE58" t="s">
        <v>648</v>
      </c>
      <c r="AF58" s="8">
        <f t="shared" si="3"/>
        <v>45903</v>
      </c>
      <c r="AG58" s="8">
        <f>_xlfn.XLOOKUP(AE58, Dev!$A:$A, Dev!$B:$B, "")</f>
        <v>45729.416770833333</v>
      </c>
      <c r="AH58" s="11">
        <f t="shared" si="4"/>
        <v>173.58322916666657</v>
      </c>
    </row>
    <row r="59" spans="1:34" x14ac:dyDescent="0.3">
      <c r="A59" s="1">
        <v>57</v>
      </c>
      <c r="B59" t="s">
        <v>172</v>
      </c>
      <c r="C59">
        <v>400000</v>
      </c>
      <c r="D59">
        <v>320000</v>
      </c>
      <c r="E59" s="2">
        <v>45894</v>
      </c>
      <c r="F59" s="2">
        <v>45894</v>
      </c>
      <c r="G59" t="s">
        <v>93</v>
      </c>
      <c r="H59" t="s">
        <v>173</v>
      </c>
      <c r="I59" t="s">
        <v>27</v>
      </c>
      <c r="J59" s="3">
        <v>45904.915277777778</v>
      </c>
      <c r="K59">
        <f t="shared" si="5"/>
        <v>9</v>
      </c>
      <c r="L59">
        <v>2025</v>
      </c>
      <c r="M59">
        <v>2025</v>
      </c>
      <c r="N59">
        <v>2025</v>
      </c>
      <c r="O59">
        <v>2025</v>
      </c>
      <c r="P59" t="s">
        <v>28</v>
      </c>
      <c r="Q59" t="s">
        <v>29</v>
      </c>
      <c r="R59" s="2">
        <v>45609</v>
      </c>
      <c r="S59">
        <v>0</v>
      </c>
      <c r="T59" t="s">
        <v>30</v>
      </c>
      <c r="U59" t="s">
        <v>41</v>
      </c>
      <c r="V59" t="s">
        <v>32</v>
      </c>
      <c r="W59" t="s">
        <v>467</v>
      </c>
      <c r="X59" t="s">
        <v>42</v>
      </c>
      <c r="Y59" t="s">
        <v>34</v>
      </c>
      <c r="Z59" t="str">
        <f t="shared" si="6"/>
        <v>0-6</v>
      </c>
      <c r="AA59" t="s">
        <v>567</v>
      </c>
      <c r="AB59">
        <v>75</v>
      </c>
      <c r="AC59" t="str" cm="1">
        <f t="array" ref="AC59">_xlfn.SWITCH(AB59,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59" t="str">
        <f t="shared" si="2"/>
        <v>80%</v>
      </c>
      <c r="AE59" t="s">
        <v>648</v>
      </c>
      <c r="AF59" s="8">
        <f t="shared" si="3"/>
        <v>45894</v>
      </c>
      <c r="AG59" s="8">
        <f>_xlfn.XLOOKUP(AE59, Dev!$A:$A, Dev!$B:$B, "")</f>
        <v>45729.416770833333</v>
      </c>
      <c r="AH59" s="11">
        <f t="shared" si="4"/>
        <v>164.58322916666657</v>
      </c>
    </row>
    <row r="60" spans="1:34" x14ac:dyDescent="0.3">
      <c r="A60" s="1">
        <v>58</v>
      </c>
      <c r="B60" t="s">
        <v>174</v>
      </c>
      <c r="C60">
        <v>2174400</v>
      </c>
      <c r="D60">
        <v>960000</v>
      </c>
      <c r="E60" s="2">
        <v>45903</v>
      </c>
      <c r="F60" s="2">
        <v>45903</v>
      </c>
      <c r="G60" t="s">
        <v>111</v>
      </c>
      <c r="H60" t="s">
        <v>175</v>
      </c>
      <c r="I60" t="s">
        <v>27</v>
      </c>
      <c r="J60" s="3">
        <v>45904.515277777777</v>
      </c>
      <c r="K60">
        <f t="shared" si="5"/>
        <v>9</v>
      </c>
      <c r="L60">
        <v>2025</v>
      </c>
      <c r="M60">
        <v>2025</v>
      </c>
      <c r="N60">
        <v>2025</v>
      </c>
      <c r="O60">
        <v>2025</v>
      </c>
      <c r="P60" t="s">
        <v>28</v>
      </c>
      <c r="Q60" t="s">
        <v>29</v>
      </c>
      <c r="R60" s="2">
        <v>45619</v>
      </c>
      <c r="S60">
        <v>0</v>
      </c>
      <c r="T60" t="s">
        <v>30</v>
      </c>
      <c r="U60" t="s">
        <v>31</v>
      </c>
      <c r="V60" t="s">
        <v>32</v>
      </c>
      <c r="W60" t="s">
        <v>468</v>
      </c>
      <c r="X60" t="s">
        <v>42</v>
      </c>
      <c r="Y60" t="s">
        <v>34</v>
      </c>
      <c r="Z60" t="str">
        <f t="shared" si="6"/>
        <v>0-6</v>
      </c>
      <c r="AA60" t="s">
        <v>558</v>
      </c>
      <c r="AB60">
        <v>1</v>
      </c>
      <c r="AC60" t="str" cm="1">
        <f t="array" ref="AC60">_xlfn.SWITCH(AB60,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60" t="str">
        <f t="shared" si="2"/>
        <v>44.15%</v>
      </c>
      <c r="AE60" t="s">
        <v>639</v>
      </c>
      <c r="AF60" s="8">
        <f t="shared" si="3"/>
        <v>45903</v>
      </c>
      <c r="AG60" s="8">
        <f>_xlfn.XLOOKUP(AE60, Dev!$A:$A, Dev!$B:$B, "")</f>
        <v>45680.692175925928</v>
      </c>
      <c r="AH60" s="11">
        <f t="shared" si="4"/>
        <v>222.30782407407241</v>
      </c>
    </row>
    <row r="61" spans="1:34" x14ac:dyDescent="0.3">
      <c r="A61" s="1">
        <v>59</v>
      </c>
      <c r="B61" t="s">
        <v>176</v>
      </c>
      <c r="C61">
        <v>778430</v>
      </c>
      <c r="D61">
        <v>632630</v>
      </c>
      <c r="E61" s="2">
        <v>45902</v>
      </c>
      <c r="F61" s="2">
        <v>45902</v>
      </c>
      <c r="G61" t="s">
        <v>46</v>
      </c>
      <c r="H61" t="s">
        <v>177</v>
      </c>
      <c r="I61" t="s">
        <v>27</v>
      </c>
      <c r="J61" s="3">
        <v>45904.418749999997</v>
      </c>
      <c r="K61">
        <f t="shared" si="5"/>
        <v>9</v>
      </c>
      <c r="L61">
        <v>2025</v>
      </c>
      <c r="M61">
        <v>2025</v>
      </c>
      <c r="N61">
        <v>2025</v>
      </c>
      <c r="O61">
        <v>2025</v>
      </c>
      <c r="P61" t="s">
        <v>28</v>
      </c>
      <c r="Q61" t="s">
        <v>29</v>
      </c>
      <c r="R61" s="2">
        <v>45750</v>
      </c>
      <c r="S61">
        <v>0</v>
      </c>
      <c r="T61" t="s">
        <v>30</v>
      </c>
      <c r="U61" t="s">
        <v>31</v>
      </c>
      <c r="V61" t="s">
        <v>32</v>
      </c>
      <c r="W61" t="s">
        <v>469</v>
      </c>
      <c r="X61" t="s">
        <v>37</v>
      </c>
      <c r="Y61" t="s">
        <v>34</v>
      </c>
      <c r="Z61" t="str">
        <f t="shared" si="6"/>
        <v>0-6</v>
      </c>
      <c r="AA61" t="s">
        <v>572</v>
      </c>
      <c r="AB61">
        <v>38</v>
      </c>
      <c r="AC61" t="str" cm="1">
        <f t="array" ref="AC61">_xlfn.SWITCH(AB61,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Thanh Hoá</v>
      </c>
      <c r="AD61" t="str">
        <f t="shared" si="2"/>
        <v>81.27%</v>
      </c>
      <c r="AE61" t="s">
        <v>653</v>
      </c>
      <c r="AF61" s="8">
        <f t="shared" si="3"/>
        <v>45902</v>
      </c>
      <c r="AG61" s="8">
        <f>_xlfn.XLOOKUP(AE61, Dev!$A:$A, Dev!$B:$B, "")</f>
        <v>45781.452673611115</v>
      </c>
      <c r="AH61" s="11">
        <f t="shared" si="4"/>
        <v>120.54732638888527</v>
      </c>
    </row>
    <row r="62" spans="1:34" x14ac:dyDescent="0.3">
      <c r="A62" s="1">
        <v>60</v>
      </c>
      <c r="B62" t="s">
        <v>178</v>
      </c>
      <c r="C62">
        <v>1285000</v>
      </c>
      <c r="D62">
        <v>676430</v>
      </c>
      <c r="E62" s="2">
        <v>45899</v>
      </c>
      <c r="F62" s="2">
        <v>45899</v>
      </c>
      <c r="G62" t="s">
        <v>46</v>
      </c>
      <c r="H62" t="s">
        <v>179</v>
      </c>
      <c r="I62" t="s">
        <v>27</v>
      </c>
      <c r="J62" s="3">
        <v>45904.394444444442</v>
      </c>
      <c r="K62">
        <f t="shared" si="5"/>
        <v>9</v>
      </c>
      <c r="L62">
        <v>2025</v>
      </c>
      <c r="M62">
        <v>2025</v>
      </c>
      <c r="N62">
        <v>2025</v>
      </c>
      <c r="O62">
        <v>2025</v>
      </c>
      <c r="P62" t="s">
        <v>28</v>
      </c>
      <c r="Q62" t="s">
        <v>29</v>
      </c>
      <c r="R62" s="2">
        <v>45750</v>
      </c>
      <c r="S62">
        <v>0</v>
      </c>
      <c r="T62" t="s">
        <v>30</v>
      </c>
      <c r="U62" t="s">
        <v>31</v>
      </c>
      <c r="V62" t="s">
        <v>32</v>
      </c>
      <c r="W62" t="s">
        <v>179</v>
      </c>
      <c r="X62" t="s">
        <v>180</v>
      </c>
      <c r="Y62" t="s">
        <v>34</v>
      </c>
      <c r="Z62" t="str">
        <f t="shared" si="6"/>
        <v>0-6</v>
      </c>
      <c r="AA62" t="s">
        <v>572</v>
      </c>
      <c r="AB62">
        <v>38</v>
      </c>
      <c r="AC62" t="str" cm="1">
        <f t="array" ref="AC62">_xlfn.SWITCH(AB62,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Thanh Hoá</v>
      </c>
      <c r="AD62" t="str">
        <f t="shared" si="2"/>
        <v>52.64%</v>
      </c>
      <c r="AE62" t="s">
        <v>653</v>
      </c>
      <c r="AF62" s="8">
        <f t="shared" si="3"/>
        <v>45899</v>
      </c>
      <c r="AG62" s="8">
        <f>_xlfn.XLOOKUP(AE62, Dev!$A:$A, Dev!$B:$B, "")</f>
        <v>45781.452673611115</v>
      </c>
      <c r="AH62" s="11">
        <f t="shared" si="4"/>
        <v>117.54732638888527</v>
      </c>
    </row>
    <row r="63" spans="1:34" x14ac:dyDescent="0.3">
      <c r="A63" s="1">
        <v>61</v>
      </c>
      <c r="B63" t="s">
        <v>181</v>
      </c>
      <c r="C63">
        <v>8318000</v>
      </c>
      <c r="D63">
        <v>7212195</v>
      </c>
      <c r="E63" s="2">
        <v>45852</v>
      </c>
      <c r="F63" s="2">
        <v>45855</v>
      </c>
      <c r="G63" t="s">
        <v>39</v>
      </c>
      <c r="H63" t="s">
        <v>182</v>
      </c>
      <c r="I63" t="s">
        <v>27</v>
      </c>
      <c r="J63" s="3">
        <v>45903.355555555558</v>
      </c>
      <c r="K63">
        <f t="shared" si="5"/>
        <v>9</v>
      </c>
      <c r="L63">
        <v>2025</v>
      </c>
      <c r="M63">
        <v>2025</v>
      </c>
      <c r="N63">
        <v>2025</v>
      </c>
      <c r="O63">
        <v>2025</v>
      </c>
      <c r="P63" t="s">
        <v>28</v>
      </c>
      <c r="Q63" t="s">
        <v>29</v>
      </c>
      <c r="R63" s="2">
        <v>45669</v>
      </c>
      <c r="S63">
        <v>0</v>
      </c>
      <c r="T63" t="s">
        <v>30</v>
      </c>
      <c r="U63" t="s">
        <v>31</v>
      </c>
      <c r="V63" t="s">
        <v>71</v>
      </c>
      <c r="W63" t="s">
        <v>182</v>
      </c>
      <c r="X63" t="s">
        <v>33</v>
      </c>
      <c r="Y63" t="s">
        <v>34</v>
      </c>
      <c r="Z63" t="str">
        <f t="shared" si="6"/>
        <v>0-6</v>
      </c>
      <c r="AA63" t="s">
        <v>573</v>
      </c>
      <c r="AB63">
        <v>1</v>
      </c>
      <c r="AC63" t="str" cm="1">
        <f t="array" ref="AC63">_xlfn.SWITCH(AB63,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63" t="str">
        <f t="shared" si="2"/>
        <v>86.71%</v>
      </c>
      <c r="AE63" t="s">
        <v>654</v>
      </c>
      <c r="AF63" s="8">
        <f t="shared" si="3"/>
        <v>45852</v>
      </c>
      <c r="AG63" s="8">
        <f>_xlfn.XLOOKUP(AE63, Dev!$A:$A, Dev!$B:$B, "")</f>
        <v>45715.848414351851</v>
      </c>
      <c r="AH63" s="11">
        <f t="shared" si="4"/>
        <v>136.15158564814919</v>
      </c>
    </row>
    <row r="64" spans="1:34" x14ac:dyDescent="0.3">
      <c r="A64" s="1">
        <v>62</v>
      </c>
      <c r="B64" t="s">
        <v>183</v>
      </c>
      <c r="C64">
        <v>331000</v>
      </c>
      <c r="D64">
        <v>331221</v>
      </c>
      <c r="E64" s="2">
        <v>45901</v>
      </c>
      <c r="G64" t="s">
        <v>106</v>
      </c>
      <c r="H64" t="s">
        <v>184</v>
      </c>
      <c r="I64" t="s">
        <v>27</v>
      </c>
      <c r="J64" s="3">
        <v>45901.594444444447</v>
      </c>
      <c r="K64">
        <f t="shared" si="5"/>
        <v>9</v>
      </c>
      <c r="L64">
        <v>2025</v>
      </c>
      <c r="M64">
        <v>2025</v>
      </c>
      <c r="N64">
        <v>2025</v>
      </c>
      <c r="O64">
        <v>2025</v>
      </c>
      <c r="P64" t="s">
        <v>28</v>
      </c>
      <c r="Q64" t="s">
        <v>29</v>
      </c>
      <c r="R64" s="2">
        <v>45650</v>
      </c>
      <c r="S64">
        <v>0</v>
      </c>
      <c r="T64" t="s">
        <v>30</v>
      </c>
      <c r="U64" t="s">
        <v>31</v>
      </c>
      <c r="V64" t="s">
        <v>32</v>
      </c>
      <c r="W64" t="s">
        <v>470</v>
      </c>
      <c r="X64" t="s">
        <v>33</v>
      </c>
      <c r="Y64" t="s">
        <v>34</v>
      </c>
      <c r="Z64" t="str">
        <f t="shared" si="6"/>
        <v>0-6</v>
      </c>
      <c r="AA64" t="s">
        <v>557</v>
      </c>
      <c r="AB64">
        <v>48</v>
      </c>
      <c r="AC64" t="str" cm="1">
        <f t="array" ref="AC64">_xlfn.SWITCH(AB64,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Đà Nẵng</v>
      </c>
      <c r="AD64" t="str">
        <f t="shared" si="2"/>
        <v>100.07%</v>
      </c>
      <c r="AE64" t="s">
        <v>638</v>
      </c>
      <c r="AF64" s="8">
        <f t="shared" si="3"/>
        <v>45901</v>
      </c>
      <c r="AG64" s="8">
        <f>_xlfn.XLOOKUP(AE64, Dev!$A:$A, Dev!$B:$B, "")</f>
        <v>45718.405949074076</v>
      </c>
      <c r="AH64" s="11">
        <f t="shared" si="4"/>
        <v>182.59405092592351</v>
      </c>
    </row>
    <row r="65" spans="1:34" x14ac:dyDescent="0.3">
      <c r="A65" s="1">
        <v>63</v>
      </c>
      <c r="B65" t="s">
        <v>185</v>
      </c>
      <c r="C65">
        <v>3235000</v>
      </c>
      <c r="D65">
        <v>2630788</v>
      </c>
      <c r="E65" s="2">
        <v>45862</v>
      </c>
      <c r="F65" s="2">
        <v>45867</v>
      </c>
      <c r="G65" t="s">
        <v>186</v>
      </c>
      <c r="H65" t="s">
        <v>187</v>
      </c>
      <c r="I65" t="s">
        <v>27</v>
      </c>
      <c r="J65" s="3">
        <v>45898.863888888889</v>
      </c>
      <c r="K65">
        <f t="shared" si="5"/>
        <v>8</v>
      </c>
      <c r="L65">
        <v>2025</v>
      </c>
      <c r="M65">
        <v>2025</v>
      </c>
      <c r="N65">
        <v>2025</v>
      </c>
      <c r="O65">
        <v>2025</v>
      </c>
      <c r="P65" t="s">
        <v>28</v>
      </c>
      <c r="Q65" t="s">
        <v>29</v>
      </c>
      <c r="R65" s="2">
        <v>45767</v>
      </c>
      <c r="S65">
        <v>0</v>
      </c>
      <c r="T65" t="s">
        <v>30</v>
      </c>
      <c r="U65" t="s">
        <v>41</v>
      </c>
      <c r="V65" t="s">
        <v>56</v>
      </c>
      <c r="W65" t="s">
        <v>187</v>
      </c>
      <c r="X65" t="s">
        <v>180</v>
      </c>
      <c r="Y65" t="s">
        <v>34</v>
      </c>
      <c r="Z65" t="str">
        <f t="shared" si="6"/>
        <v>0-6</v>
      </c>
      <c r="AA65" t="s">
        <v>574</v>
      </c>
      <c r="AB65">
        <v>1</v>
      </c>
      <c r="AC65" t="str" cm="1">
        <f t="array" ref="AC65">_xlfn.SWITCH(AB65,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65" t="str">
        <f t="shared" si="2"/>
        <v>81.32%</v>
      </c>
      <c r="AE65" t="s">
        <v>655</v>
      </c>
      <c r="AF65" s="8">
        <f t="shared" si="3"/>
        <v>45862</v>
      </c>
      <c r="AG65" s="8">
        <f>_xlfn.XLOOKUP(AE65, Dev!$A:$A, Dev!$B:$B, "")</f>
        <v>45809.805509259262</v>
      </c>
      <c r="AH65" s="11">
        <f t="shared" si="4"/>
        <v>52.19449074073782</v>
      </c>
    </row>
    <row r="66" spans="1:34" x14ac:dyDescent="0.3">
      <c r="A66" s="1">
        <v>64</v>
      </c>
      <c r="B66" t="s">
        <v>188</v>
      </c>
      <c r="C66">
        <v>320000</v>
      </c>
      <c r="D66">
        <v>240000</v>
      </c>
      <c r="E66" s="2">
        <v>45859</v>
      </c>
      <c r="F66" s="2">
        <v>45863</v>
      </c>
      <c r="G66" t="s">
        <v>42</v>
      </c>
      <c r="H66" t="s">
        <v>189</v>
      </c>
      <c r="I66" t="s">
        <v>27</v>
      </c>
      <c r="J66" s="3">
        <v>45897.948611111111</v>
      </c>
      <c r="K66">
        <f t="shared" ref="K66:K97" si="7">MONTH(J66)</f>
        <v>8</v>
      </c>
      <c r="L66">
        <v>2025</v>
      </c>
      <c r="M66">
        <v>2025</v>
      </c>
      <c r="N66">
        <v>2025</v>
      </c>
      <c r="O66">
        <v>2025</v>
      </c>
      <c r="P66" t="s">
        <v>28</v>
      </c>
      <c r="Q66" t="s">
        <v>29</v>
      </c>
      <c r="R66" s="2">
        <v>45656</v>
      </c>
      <c r="S66">
        <v>0</v>
      </c>
      <c r="T66" t="s">
        <v>30</v>
      </c>
      <c r="U66" t="s">
        <v>41</v>
      </c>
      <c r="V66" t="s">
        <v>56</v>
      </c>
      <c r="W66" t="s">
        <v>471</v>
      </c>
      <c r="X66" t="s">
        <v>42</v>
      </c>
      <c r="Y66" t="s">
        <v>34</v>
      </c>
      <c r="Z66" t="str">
        <f t="shared" ref="Z66:Z97" si="8">IF(S66&lt;=6,"0-6",
IF(S66&lt;=17,"7-17",
IF(S66&lt;=35,"18-35",
IF(S66&lt;=55,"36-55",
"56+"))))</f>
        <v>0-6</v>
      </c>
      <c r="AA66" t="s">
        <v>575</v>
      </c>
      <c r="AB66">
        <v>82</v>
      </c>
      <c r="AC66" t="str" cm="1">
        <f t="array" ref="AC66">_xlfn.SWITCH(AB66,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66" t="str">
        <f t="shared" si="2"/>
        <v>75%</v>
      </c>
      <c r="AE66" t="s">
        <v>656</v>
      </c>
      <c r="AF66" s="8">
        <f t="shared" si="3"/>
        <v>45859</v>
      </c>
      <c r="AG66" s="8">
        <f>_xlfn.XLOOKUP(AE66, Dev!$A:$A, Dev!$B:$B, "")</f>
        <v>45710.506944444445</v>
      </c>
      <c r="AH66" s="11">
        <f t="shared" si="4"/>
        <v>148.49305555555475</v>
      </c>
    </row>
    <row r="67" spans="1:34" x14ac:dyDescent="0.3">
      <c r="A67" s="1">
        <v>65</v>
      </c>
      <c r="B67" t="s">
        <v>190</v>
      </c>
      <c r="C67">
        <v>993355</v>
      </c>
      <c r="D67">
        <v>636240</v>
      </c>
      <c r="E67" s="2">
        <v>45896</v>
      </c>
      <c r="F67" s="2">
        <v>45896</v>
      </c>
      <c r="G67" t="s">
        <v>191</v>
      </c>
      <c r="H67" t="s">
        <v>192</v>
      </c>
      <c r="I67" t="s">
        <v>27</v>
      </c>
      <c r="J67" s="3">
        <v>45897.423611111109</v>
      </c>
      <c r="K67">
        <f t="shared" si="7"/>
        <v>8</v>
      </c>
      <c r="L67">
        <v>2025</v>
      </c>
      <c r="M67">
        <v>2025</v>
      </c>
      <c r="N67">
        <v>2025</v>
      </c>
      <c r="O67">
        <v>2025</v>
      </c>
      <c r="P67" t="s">
        <v>28</v>
      </c>
      <c r="Q67" t="s">
        <v>29</v>
      </c>
      <c r="R67" s="2">
        <v>45528</v>
      </c>
      <c r="S67">
        <v>1</v>
      </c>
      <c r="T67" t="s">
        <v>30</v>
      </c>
      <c r="U67" t="s">
        <v>41</v>
      </c>
      <c r="V67" t="s">
        <v>32</v>
      </c>
      <c r="W67" t="s">
        <v>192</v>
      </c>
      <c r="X67" t="s">
        <v>33</v>
      </c>
      <c r="Y67" t="s">
        <v>34</v>
      </c>
      <c r="Z67" t="str">
        <f t="shared" si="8"/>
        <v>0-6</v>
      </c>
      <c r="AA67" t="s">
        <v>576</v>
      </c>
      <c r="AB67">
        <v>74</v>
      </c>
      <c r="AC67" t="str" cm="1">
        <f t="array" ref="AC67">_xlfn.SWITCH(AB67,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67" t="str">
        <f t="shared" ref="AD67:AD130" si="9">ROUND((D67/C67)*100, 2) &amp; "%"</f>
        <v>64.05%</v>
      </c>
      <c r="AE67" t="s">
        <v>657</v>
      </c>
      <c r="AF67" s="8">
        <f t="shared" ref="AF67:AF130" si="10">INT(E67)</f>
        <v>45896</v>
      </c>
      <c r="AG67" s="8">
        <f>_xlfn.XLOOKUP(AE67, Dev!$A:$A, Dev!$B:$B, "")</f>
        <v>45707.436122685183</v>
      </c>
      <c r="AH67" s="11">
        <f t="shared" ref="AH67:AH130" si="11">AF67-AG67</f>
        <v>188.56387731481664</v>
      </c>
    </row>
    <row r="68" spans="1:34" x14ac:dyDescent="0.3">
      <c r="A68" s="1">
        <v>66</v>
      </c>
      <c r="B68" t="s">
        <v>193</v>
      </c>
      <c r="C68">
        <v>14719880</v>
      </c>
      <c r="D68">
        <v>14988280</v>
      </c>
      <c r="E68" s="2">
        <v>45884</v>
      </c>
      <c r="F68" s="2">
        <v>45891</v>
      </c>
      <c r="G68" t="s">
        <v>194</v>
      </c>
      <c r="H68" t="s">
        <v>195</v>
      </c>
      <c r="I68" t="s">
        <v>27</v>
      </c>
      <c r="J68" s="3">
        <v>45895.87777777778</v>
      </c>
      <c r="K68">
        <f t="shared" si="7"/>
        <v>8</v>
      </c>
      <c r="L68">
        <v>2025</v>
      </c>
      <c r="M68">
        <v>2025</v>
      </c>
      <c r="N68">
        <v>2025</v>
      </c>
      <c r="O68">
        <v>2025</v>
      </c>
      <c r="P68" t="s">
        <v>28</v>
      </c>
      <c r="Q68" t="s">
        <v>29</v>
      </c>
      <c r="R68" s="2">
        <v>45656</v>
      </c>
      <c r="S68">
        <v>0</v>
      </c>
      <c r="T68" t="s">
        <v>30</v>
      </c>
      <c r="U68" t="s">
        <v>41</v>
      </c>
      <c r="V68" t="s">
        <v>71</v>
      </c>
      <c r="W68" t="s">
        <v>74</v>
      </c>
      <c r="X68" t="s">
        <v>33</v>
      </c>
      <c r="Y68" t="s">
        <v>34</v>
      </c>
      <c r="Z68" t="str">
        <f t="shared" si="8"/>
        <v>0-6</v>
      </c>
      <c r="AA68" t="s">
        <v>577</v>
      </c>
      <c r="AB68">
        <v>82</v>
      </c>
      <c r="AC68" t="str" cm="1">
        <f t="array" ref="AC68">_xlfn.SWITCH(AB68,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68" t="str">
        <f t="shared" si="9"/>
        <v>101.82%</v>
      </c>
      <c r="AE68" t="s">
        <v>658</v>
      </c>
      <c r="AF68" s="8">
        <f t="shared" si="10"/>
        <v>45884</v>
      </c>
      <c r="AG68" s="8">
        <f>_xlfn.XLOOKUP(AE68, Dev!$A:$A, Dev!$B:$B, "")</f>
        <v>45710.518067129633</v>
      </c>
      <c r="AH68" s="11">
        <f t="shared" si="11"/>
        <v>173.48193287036702</v>
      </c>
    </row>
    <row r="69" spans="1:34" x14ac:dyDescent="0.3">
      <c r="A69" s="1">
        <v>67</v>
      </c>
      <c r="B69" t="s">
        <v>196</v>
      </c>
      <c r="C69">
        <v>15187980</v>
      </c>
      <c r="D69">
        <v>15067280</v>
      </c>
      <c r="E69" s="2">
        <v>45884</v>
      </c>
      <c r="F69" s="2">
        <v>45891</v>
      </c>
      <c r="G69" t="s">
        <v>194</v>
      </c>
      <c r="H69" t="s">
        <v>195</v>
      </c>
      <c r="I69" t="s">
        <v>27</v>
      </c>
      <c r="J69" s="3">
        <v>45895.870138888888</v>
      </c>
      <c r="K69">
        <f t="shared" si="7"/>
        <v>8</v>
      </c>
      <c r="L69">
        <v>2025</v>
      </c>
      <c r="M69">
        <v>2025</v>
      </c>
      <c r="N69">
        <v>2025</v>
      </c>
      <c r="O69">
        <v>2025</v>
      </c>
      <c r="P69" t="s">
        <v>28</v>
      </c>
      <c r="Q69" t="s">
        <v>29</v>
      </c>
      <c r="R69" s="2">
        <v>45656</v>
      </c>
      <c r="S69">
        <v>0</v>
      </c>
      <c r="T69" t="s">
        <v>30</v>
      </c>
      <c r="U69" t="s">
        <v>41</v>
      </c>
      <c r="V69" t="s">
        <v>71</v>
      </c>
      <c r="W69" t="s">
        <v>74</v>
      </c>
      <c r="X69" t="s">
        <v>33</v>
      </c>
      <c r="Y69" t="s">
        <v>34</v>
      </c>
      <c r="Z69" t="str">
        <f t="shared" si="8"/>
        <v>0-6</v>
      </c>
      <c r="AA69" t="s">
        <v>575</v>
      </c>
      <c r="AB69">
        <v>82</v>
      </c>
      <c r="AC69" t="str" cm="1">
        <f t="array" ref="AC69">_xlfn.SWITCH(AB69,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69" t="str">
        <f t="shared" si="9"/>
        <v>99.21%</v>
      </c>
      <c r="AE69" t="s">
        <v>656</v>
      </c>
      <c r="AF69" s="8">
        <f t="shared" si="10"/>
        <v>45884</v>
      </c>
      <c r="AG69" s="8">
        <f>_xlfn.XLOOKUP(AE69, Dev!$A:$A, Dev!$B:$B, "")</f>
        <v>45710.506944444445</v>
      </c>
      <c r="AH69" s="11">
        <f t="shared" si="11"/>
        <v>173.49305555555475</v>
      </c>
    </row>
    <row r="70" spans="1:34" x14ac:dyDescent="0.3">
      <c r="A70" s="1">
        <v>68</v>
      </c>
      <c r="B70" t="s">
        <v>197</v>
      </c>
      <c r="C70">
        <v>1429400</v>
      </c>
      <c r="D70">
        <v>663520</v>
      </c>
      <c r="E70" s="2">
        <v>45870</v>
      </c>
      <c r="F70" s="2">
        <v>45870</v>
      </c>
      <c r="G70" t="s">
        <v>111</v>
      </c>
      <c r="H70" t="s">
        <v>198</v>
      </c>
      <c r="I70" t="s">
        <v>27</v>
      </c>
      <c r="J70" s="3">
        <v>45895.739583333336</v>
      </c>
      <c r="K70">
        <f t="shared" si="7"/>
        <v>8</v>
      </c>
      <c r="L70">
        <v>2025</v>
      </c>
      <c r="M70">
        <v>2025</v>
      </c>
      <c r="N70">
        <v>2025</v>
      </c>
      <c r="O70">
        <v>2025</v>
      </c>
      <c r="P70" t="s">
        <v>28</v>
      </c>
      <c r="Q70" t="s">
        <v>29</v>
      </c>
      <c r="R70" s="2">
        <v>45503</v>
      </c>
      <c r="S70">
        <v>1</v>
      </c>
      <c r="T70" t="s">
        <v>30</v>
      </c>
      <c r="U70" t="s">
        <v>41</v>
      </c>
      <c r="V70" t="s">
        <v>32</v>
      </c>
      <c r="W70" t="s">
        <v>472</v>
      </c>
      <c r="X70" t="s">
        <v>33</v>
      </c>
      <c r="Y70" t="s">
        <v>34</v>
      </c>
      <c r="Z70" t="str">
        <f t="shared" si="8"/>
        <v>0-6</v>
      </c>
      <c r="AA70" t="s">
        <v>578</v>
      </c>
      <c r="AB70">
        <v>1</v>
      </c>
      <c r="AC70" t="str" cm="1">
        <f t="array" ref="AC70">_xlfn.SWITCH(AB70,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70" t="str">
        <f t="shared" si="9"/>
        <v>46.42%</v>
      </c>
      <c r="AE70" t="s">
        <v>659</v>
      </c>
      <c r="AF70" s="8">
        <f t="shared" si="10"/>
        <v>45870</v>
      </c>
      <c r="AG70" s="8">
        <f>_xlfn.XLOOKUP(AE70, Dev!$A:$A, Dev!$B:$B, "")</f>
        <v>45582.836319444446</v>
      </c>
      <c r="AH70" s="11">
        <f t="shared" si="11"/>
        <v>287.16368055555358</v>
      </c>
    </row>
    <row r="71" spans="1:34" x14ac:dyDescent="0.3">
      <c r="A71" s="1">
        <v>69</v>
      </c>
      <c r="B71" t="s">
        <v>199</v>
      </c>
      <c r="C71">
        <v>649427</v>
      </c>
      <c r="D71">
        <v>519542</v>
      </c>
      <c r="E71" s="2">
        <v>45895</v>
      </c>
      <c r="G71" t="s">
        <v>73</v>
      </c>
      <c r="H71" t="s">
        <v>200</v>
      </c>
      <c r="I71" t="s">
        <v>27</v>
      </c>
      <c r="J71" s="3">
        <v>45895.720833333333</v>
      </c>
      <c r="K71">
        <f t="shared" si="7"/>
        <v>8</v>
      </c>
      <c r="L71">
        <v>2025</v>
      </c>
      <c r="M71">
        <v>2025</v>
      </c>
      <c r="N71">
        <v>2025</v>
      </c>
      <c r="O71">
        <v>2025</v>
      </c>
      <c r="P71" t="s">
        <v>28</v>
      </c>
      <c r="Q71" t="s">
        <v>29</v>
      </c>
      <c r="R71" s="2">
        <v>45636</v>
      </c>
      <c r="S71">
        <v>0</v>
      </c>
      <c r="T71" t="s">
        <v>30</v>
      </c>
      <c r="U71" t="s">
        <v>31</v>
      </c>
      <c r="V71" t="s">
        <v>32</v>
      </c>
      <c r="W71" t="s">
        <v>473</v>
      </c>
      <c r="X71" t="s">
        <v>42</v>
      </c>
      <c r="Y71" t="s">
        <v>34</v>
      </c>
      <c r="Z71" t="str">
        <f t="shared" si="8"/>
        <v>0-6</v>
      </c>
      <c r="AA71" t="s">
        <v>546</v>
      </c>
      <c r="AB71">
        <v>31</v>
      </c>
      <c r="AC71" t="str" cm="1">
        <f t="array" ref="AC71">_xlfn.SWITCH(AB71,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71" t="str">
        <f t="shared" si="9"/>
        <v>80%</v>
      </c>
      <c r="AE71" t="s">
        <v>627</v>
      </c>
      <c r="AF71" s="8">
        <f t="shared" si="10"/>
        <v>45895</v>
      </c>
      <c r="AG71" s="8">
        <f>_xlfn.XLOOKUP(AE71, Dev!$A:$A, Dev!$B:$B, "")</f>
        <v>45751.643692129626</v>
      </c>
      <c r="AH71" s="11">
        <f t="shared" si="11"/>
        <v>143.35630787037371</v>
      </c>
    </row>
    <row r="72" spans="1:34" x14ac:dyDescent="0.3">
      <c r="A72" s="1">
        <v>70</v>
      </c>
      <c r="B72" t="s">
        <v>201</v>
      </c>
      <c r="C72">
        <v>168000</v>
      </c>
      <c r="D72">
        <v>102400</v>
      </c>
      <c r="E72" s="2">
        <v>45885</v>
      </c>
      <c r="F72" s="2">
        <v>45885</v>
      </c>
      <c r="G72" t="s">
        <v>114</v>
      </c>
      <c r="H72" t="s">
        <v>202</v>
      </c>
      <c r="I72" t="s">
        <v>27</v>
      </c>
      <c r="J72" s="3">
        <v>45895.518750000003</v>
      </c>
      <c r="K72">
        <f t="shared" si="7"/>
        <v>8</v>
      </c>
      <c r="L72">
        <v>2025</v>
      </c>
      <c r="M72">
        <v>2025</v>
      </c>
      <c r="N72">
        <v>2025</v>
      </c>
      <c r="O72">
        <v>2025</v>
      </c>
      <c r="P72" t="s">
        <v>28</v>
      </c>
      <c r="Q72" t="s">
        <v>29</v>
      </c>
      <c r="R72" s="2">
        <v>44269</v>
      </c>
      <c r="S72">
        <v>4</v>
      </c>
      <c r="T72" t="s">
        <v>30</v>
      </c>
      <c r="U72" t="s">
        <v>41</v>
      </c>
      <c r="V72" t="s">
        <v>32</v>
      </c>
      <c r="W72" t="s">
        <v>202</v>
      </c>
      <c r="X72" t="s">
        <v>33</v>
      </c>
      <c r="Y72" t="s">
        <v>34</v>
      </c>
      <c r="Z72" t="str">
        <f t="shared" si="8"/>
        <v>0-6</v>
      </c>
      <c r="AA72" t="s">
        <v>541</v>
      </c>
      <c r="AB72">
        <v>79</v>
      </c>
      <c r="AC72" t="str" cm="1">
        <f t="array" ref="AC72">_xlfn.SWITCH(AB72,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2" t="str">
        <f t="shared" si="9"/>
        <v>60.95%</v>
      </c>
      <c r="AE72" t="s">
        <v>622</v>
      </c>
      <c r="AF72" s="8">
        <f t="shared" si="10"/>
        <v>45885</v>
      </c>
      <c r="AG72" s="8">
        <f>_xlfn.XLOOKUP(AE72, Dev!$A:$A, Dev!$B:$B, "")</f>
        <v>45689</v>
      </c>
      <c r="AH72" s="11">
        <f t="shared" si="11"/>
        <v>196</v>
      </c>
    </row>
    <row r="73" spans="1:34" x14ac:dyDescent="0.3">
      <c r="A73" s="1">
        <v>71</v>
      </c>
      <c r="B73" t="s">
        <v>203</v>
      </c>
      <c r="C73">
        <v>118500</v>
      </c>
      <c r="D73">
        <v>94800</v>
      </c>
      <c r="E73" s="2">
        <v>45882</v>
      </c>
      <c r="F73" s="2">
        <v>45882</v>
      </c>
      <c r="G73" t="s">
        <v>114</v>
      </c>
      <c r="H73" t="s">
        <v>204</v>
      </c>
      <c r="I73" t="s">
        <v>27</v>
      </c>
      <c r="J73" s="3">
        <v>45895.517361111109</v>
      </c>
      <c r="K73">
        <f t="shared" si="7"/>
        <v>8</v>
      </c>
      <c r="L73">
        <v>2025</v>
      </c>
      <c r="M73">
        <v>2025</v>
      </c>
      <c r="N73">
        <v>2025</v>
      </c>
      <c r="O73">
        <v>2025</v>
      </c>
      <c r="P73" t="s">
        <v>28</v>
      </c>
      <c r="Q73" t="s">
        <v>29</v>
      </c>
      <c r="R73" s="2">
        <v>44269</v>
      </c>
      <c r="S73">
        <v>4</v>
      </c>
      <c r="T73" t="s">
        <v>30</v>
      </c>
      <c r="U73" t="s">
        <v>41</v>
      </c>
      <c r="V73" t="s">
        <v>32</v>
      </c>
      <c r="W73" t="s">
        <v>474</v>
      </c>
      <c r="X73" t="s">
        <v>33</v>
      </c>
      <c r="Y73" t="s">
        <v>34</v>
      </c>
      <c r="Z73" t="str">
        <f t="shared" si="8"/>
        <v>0-6</v>
      </c>
      <c r="AA73" t="s">
        <v>541</v>
      </c>
      <c r="AB73">
        <v>79</v>
      </c>
      <c r="AC73" t="str" cm="1">
        <f t="array" ref="AC73">_xlfn.SWITCH(AB73,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3" t="str">
        <f t="shared" si="9"/>
        <v>80%</v>
      </c>
      <c r="AE73" t="s">
        <v>622</v>
      </c>
      <c r="AF73" s="8">
        <f t="shared" si="10"/>
        <v>45882</v>
      </c>
      <c r="AG73" s="8">
        <f>_xlfn.XLOOKUP(AE73, Dev!$A:$A, Dev!$B:$B, "")</f>
        <v>45689</v>
      </c>
      <c r="AH73" s="11">
        <f t="shared" si="11"/>
        <v>193</v>
      </c>
    </row>
    <row r="74" spans="1:34" x14ac:dyDescent="0.3">
      <c r="A74" s="1">
        <v>72</v>
      </c>
      <c r="B74" t="s">
        <v>205</v>
      </c>
      <c r="C74">
        <v>693765</v>
      </c>
      <c r="D74">
        <v>341950</v>
      </c>
      <c r="E74" s="2">
        <v>45889</v>
      </c>
      <c r="F74" s="2">
        <v>45889</v>
      </c>
      <c r="G74" t="s">
        <v>206</v>
      </c>
      <c r="H74" t="s">
        <v>207</v>
      </c>
      <c r="I74" t="s">
        <v>27</v>
      </c>
      <c r="J74" s="3">
        <v>45894.688194444447</v>
      </c>
      <c r="K74">
        <f t="shared" si="7"/>
        <v>8</v>
      </c>
      <c r="L74">
        <v>2025</v>
      </c>
      <c r="M74">
        <v>2025</v>
      </c>
      <c r="N74">
        <v>2025</v>
      </c>
      <c r="O74">
        <v>2025</v>
      </c>
      <c r="P74" t="s">
        <v>28</v>
      </c>
      <c r="Q74" t="s">
        <v>29</v>
      </c>
      <c r="R74" s="2">
        <v>45494</v>
      </c>
      <c r="S74">
        <v>1</v>
      </c>
      <c r="T74" t="s">
        <v>30</v>
      </c>
      <c r="U74" t="s">
        <v>41</v>
      </c>
      <c r="V74" t="s">
        <v>32</v>
      </c>
      <c r="W74" t="s">
        <v>475</v>
      </c>
      <c r="X74" t="s">
        <v>78</v>
      </c>
      <c r="Y74" t="s">
        <v>34</v>
      </c>
      <c r="Z74" t="str">
        <f t="shared" si="8"/>
        <v>0-6</v>
      </c>
      <c r="AA74" t="s">
        <v>579</v>
      </c>
      <c r="AB74">
        <v>79</v>
      </c>
      <c r="AC74" t="str" cm="1">
        <f t="array" ref="AC74">_xlfn.SWITCH(AB74,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4" t="str">
        <f t="shared" si="9"/>
        <v>49.29%</v>
      </c>
      <c r="AE74" t="s">
        <v>660</v>
      </c>
      <c r="AF74" s="8">
        <f t="shared" si="10"/>
        <v>45889</v>
      </c>
      <c r="AG74" s="8">
        <f>_xlfn.XLOOKUP(AE74, Dev!$A:$A, Dev!$B:$B, "")</f>
        <v>45837.660173611112</v>
      </c>
      <c r="AH74" s="11">
        <f t="shared" si="11"/>
        <v>51.339826388888469</v>
      </c>
    </row>
    <row r="75" spans="1:34" x14ac:dyDescent="0.3">
      <c r="A75" s="1">
        <v>73</v>
      </c>
      <c r="B75" t="s">
        <v>208</v>
      </c>
      <c r="C75">
        <v>141000</v>
      </c>
      <c r="D75">
        <v>112800</v>
      </c>
      <c r="E75" s="2">
        <v>45880</v>
      </c>
      <c r="F75" s="2">
        <v>45880</v>
      </c>
      <c r="G75" t="s">
        <v>42</v>
      </c>
      <c r="H75" t="s">
        <v>209</v>
      </c>
      <c r="I75" t="s">
        <v>27</v>
      </c>
      <c r="J75" s="3">
        <v>45894.685416666667</v>
      </c>
      <c r="K75">
        <f t="shared" si="7"/>
        <v>8</v>
      </c>
      <c r="L75">
        <v>2025</v>
      </c>
      <c r="M75">
        <v>2025</v>
      </c>
      <c r="N75">
        <v>2025</v>
      </c>
      <c r="O75">
        <v>2025</v>
      </c>
      <c r="P75" t="s">
        <v>28</v>
      </c>
      <c r="Q75" t="s">
        <v>29</v>
      </c>
      <c r="R75" s="2">
        <v>45494</v>
      </c>
      <c r="S75">
        <v>1</v>
      </c>
      <c r="T75" t="s">
        <v>30</v>
      </c>
      <c r="U75" t="s">
        <v>41</v>
      </c>
      <c r="V75" t="s">
        <v>32</v>
      </c>
      <c r="W75" t="s">
        <v>210</v>
      </c>
      <c r="X75" t="s">
        <v>37</v>
      </c>
      <c r="Y75" t="s">
        <v>34</v>
      </c>
      <c r="Z75" t="str">
        <f t="shared" si="8"/>
        <v>0-6</v>
      </c>
      <c r="AA75" t="s">
        <v>579</v>
      </c>
      <c r="AB75">
        <v>79</v>
      </c>
      <c r="AC75" t="str" cm="1">
        <f t="array" ref="AC75">_xlfn.SWITCH(AB75,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5" t="str">
        <f t="shared" si="9"/>
        <v>80%</v>
      </c>
      <c r="AE75" t="s">
        <v>660</v>
      </c>
      <c r="AF75" s="8">
        <f t="shared" si="10"/>
        <v>45880</v>
      </c>
      <c r="AG75" s="8">
        <f>_xlfn.XLOOKUP(AE75, Dev!$A:$A, Dev!$B:$B, "")</f>
        <v>45837.660173611112</v>
      </c>
      <c r="AH75" s="11">
        <f t="shared" si="11"/>
        <v>42.339826388888469</v>
      </c>
    </row>
    <row r="76" spans="1:34" x14ac:dyDescent="0.3">
      <c r="A76" s="1">
        <v>74</v>
      </c>
      <c r="B76" t="s">
        <v>211</v>
      </c>
      <c r="C76">
        <v>403000</v>
      </c>
      <c r="D76">
        <v>322400</v>
      </c>
      <c r="E76" s="2">
        <v>45878</v>
      </c>
      <c r="F76" s="2">
        <v>45878</v>
      </c>
      <c r="G76" t="s">
        <v>42</v>
      </c>
      <c r="H76" t="s">
        <v>212</v>
      </c>
      <c r="I76" t="s">
        <v>27</v>
      </c>
      <c r="J76" s="3">
        <v>45894.682638888888</v>
      </c>
      <c r="K76">
        <f t="shared" si="7"/>
        <v>8</v>
      </c>
      <c r="L76">
        <v>2025</v>
      </c>
      <c r="M76">
        <v>2025</v>
      </c>
      <c r="N76">
        <v>2025</v>
      </c>
      <c r="O76">
        <v>2025</v>
      </c>
      <c r="P76" t="s">
        <v>28</v>
      </c>
      <c r="Q76" t="s">
        <v>29</v>
      </c>
      <c r="R76" s="2">
        <v>45494</v>
      </c>
      <c r="S76">
        <v>1</v>
      </c>
      <c r="T76" t="s">
        <v>30</v>
      </c>
      <c r="U76" t="s">
        <v>41</v>
      </c>
      <c r="V76" t="s">
        <v>32</v>
      </c>
      <c r="W76" t="s">
        <v>212</v>
      </c>
      <c r="X76" t="s">
        <v>42</v>
      </c>
      <c r="Y76" t="s">
        <v>34</v>
      </c>
      <c r="Z76" t="str">
        <f t="shared" si="8"/>
        <v>0-6</v>
      </c>
      <c r="AA76" t="s">
        <v>579</v>
      </c>
      <c r="AB76">
        <v>79</v>
      </c>
      <c r="AC76" t="str" cm="1">
        <f t="array" ref="AC76">_xlfn.SWITCH(AB76,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6" t="str">
        <f t="shared" si="9"/>
        <v>80%</v>
      </c>
      <c r="AE76" t="s">
        <v>660</v>
      </c>
      <c r="AF76" s="8">
        <f t="shared" si="10"/>
        <v>45878</v>
      </c>
      <c r="AG76" s="8">
        <f>_xlfn.XLOOKUP(AE76, Dev!$A:$A, Dev!$B:$B, "")</f>
        <v>45837.660173611112</v>
      </c>
      <c r="AH76" s="11">
        <f t="shared" si="11"/>
        <v>40.339826388888469</v>
      </c>
    </row>
    <row r="77" spans="1:34" x14ac:dyDescent="0.3">
      <c r="A77" s="1">
        <v>75</v>
      </c>
      <c r="B77" t="s">
        <v>213</v>
      </c>
      <c r="C77">
        <v>66000</v>
      </c>
      <c r="D77">
        <v>52800</v>
      </c>
      <c r="E77" s="2">
        <v>45876</v>
      </c>
      <c r="F77" s="2">
        <v>45876</v>
      </c>
      <c r="G77" t="s">
        <v>42</v>
      </c>
      <c r="H77" t="s">
        <v>214</v>
      </c>
      <c r="I77" t="s">
        <v>27</v>
      </c>
      <c r="J77" s="3">
        <v>45894.679166666669</v>
      </c>
      <c r="K77">
        <f t="shared" si="7"/>
        <v>8</v>
      </c>
      <c r="L77">
        <v>2025</v>
      </c>
      <c r="M77">
        <v>2025</v>
      </c>
      <c r="N77">
        <v>2025</v>
      </c>
      <c r="O77">
        <v>2025</v>
      </c>
      <c r="P77" t="s">
        <v>28</v>
      </c>
      <c r="Q77" t="s">
        <v>29</v>
      </c>
      <c r="R77" s="2">
        <v>45494</v>
      </c>
      <c r="S77">
        <v>1</v>
      </c>
      <c r="T77" t="s">
        <v>30</v>
      </c>
      <c r="U77" t="s">
        <v>41</v>
      </c>
      <c r="V77" t="s">
        <v>71</v>
      </c>
      <c r="W77" t="s">
        <v>214</v>
      </c>
      <c r="X77" t="s">
        <v>33</v>
      </c>
      <c r="Y77" t="s">
        <v>34</v>
      </c>
      <c r="Z77" t="str">
        <f t="shared" si="8"/>
        <v>0-6</v>
      </c>
      <c r="AA77" t="s">
        <v>579</v>
      </c>
      <c r="AB77">
        <v>79</v>
      </c>
      <c r="AC77" t="str" cm="1">
        <f t="array" ref="AC77">_xlfn.SWITCH(AB77,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7" t="str">
        <f t="shared" si="9"/>
        <v>80%</v>
      </c>
      <c r="AE77" t="s">
        <v>660</v>
      </c>
      <c r="AF77" s="8">
        <f t="shared" si="10"/>
        <v>45876</v>
      </c>
      <c r="AG77" s="8">
        <f>_xlfn.XLOOKUP(AE77, Dev!$A:$A, Dev!$B:$B, "")</f>
        <v>45837.660173611112</v>
      </c>
      <c r="AH77" s="11">
        <f t="shared" si="11"/>
        <v>38.339826388888469</v>
      </c>
    </row>
    <row r="78" spans="1:34" x14ac:dyDescent="0.3">
      <c r="A78" s="1">
        <v>76</v>
      </c>
      <c r="B78" t="s">
        <v>215</v>
      </c>
      <c r="C78">
        <v>767824</v>
      </c>
      <c r="D78">
        <v>602259</v>
      </c>
      <c r="E78" s="2">
        <v>45894</v>
      </c>
      <c r="G78" t="s">
        <v>191</v>
      </c>
      <c r="H78" t="s">
        <v>192</v>
      </c>
      <c r="I78" t="s">
        <v>27</v>
      </c>
      <c r="J78" s="3">
        <v>45894.468055555553</v>
      </c>
      <c r="K78">
        <f t="shared" si="7"/>
        <v>8</v>
      </c>
      <c r="L78">
        <v>2025</v>
      </c>
      <c r="M78">
        <v>2025</v>
      </c>
      <c r="N78">
        <v>2025</v>
      </c>
      <c r="O78">
        <v>2025</v>
      </c>
      <c r="P78" t="s">
        <v>28</v>
      </c>
      <c r="Q78" t="s">
        <v>29</v>
      </c>
      <c r="R78" s="2">
        <v>45528</v>
      </c>
      <c r="S78">
        <v>1</v>
      </c>
      <c r="T78" t="s">
        <v>30</v>
      </c>
      <c r="U78" t="s">
        <v>41</v>
      </c>
      <c r="V78" t="s">
        <v>32</v>
      </c>
      <c r="W78" t="s">
        <v>192</v>
      </c>
      <c r="X78" t="s">
        <v>33</v>
      </c>
      <c r="Y78" t="s">
        <v>34</v>
      </c>
      <c r="Z78" t="str">
        <f t="shared" si="8"/>
        <v>0-6</v>
      </c>
      <c r="AA78" t="s">
        <v>576</v>
      </c>
      <c r="AB78">
        <v>74</v>
      </c>
      <c r="AC78" t="str" cm="1">
        <f t="array" ref="AC78">_xlfn.SWITCH(AB78,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78" t="str">
        <f t="shared" si="9"/>
        <v>78.44%</v>
      </c>
      <c r="AE78" t="s">
        <v>657</v>
      </c>
      <c r="AF78" s="8">
        <f t="shared" si="10"/>
        <v>45894</v>
      </c>
      <c r="AG78" s="8">
        <f>_xlfn.XLOOKUP(AE78, Dev!$A:$A, Dev!$B:$B, "")</f>
        <v>45707.436122685183</v>
      </c>
      <c r="AH78" s="11">
        <f t="shared" si="11"/>
        <v>186.56387731481664</v>
      </c>
    </row>
    <row r="79" spans="1:34" x14ac:dyDescent="0.3">
      <c r="A79" s="1">
        <v>77</v>
      </c>
      <c r="B79" t="s">
        <v>216</v>
      </c>
      <c r="C79">
        <v>320250</v>
      </c>
      <c r="D79">
        <v>256200</v>
      </c>
      <c r="E79" s="2">
        <v>45890</v>
      </c>
      <c r="F79" s="2">
        <v>45890</v>
      </c>
      <c r="G79" t="s">
        <v>93</v>
      </c>
      <c r="H79" t="s">
        <v>217</v>
      </c>
      <c r="I79" t="s">
        <v>27</v>
      </c>
      <c r="J79" s="3">
        <v>45891.631944444445</v>
      </c>
      <c r="K79">
        <f t="shared" si="7"/>
        <v>8</v>
      </c>
      <c r="L79">
        <v>2025</v>
      </c>
      <c r="M79">
        <v>2025</v>
      </c>
      <c r="N79">
        <v>2025</v>
      </c>
      <c r="O79">
        <v>2025</v>
      </c>
      <c r="P79" t="s">
        <v>28</v>
      </c>
      <c r="Q79" t="s">
        <v>29</v>
      </c>
      <c r="R79" s="2">
        <v>45609</v>
      </c>
      <c r="S79">
        <v>0</v>
      </c>
      <c r="T79" t="s">
        <v>30</v>
      </c>
      <c r="U79" t="s">
        <v>41</v>
      </c>
      <c r="V79" t="s">
        <v>32</v>
      </c>
      <c r="W79" t="s">
        <v>476</v>
      </c>
      <c r="X79" t="s">
        <v>42</v>
      </c>
      <c r="Y79" t="s">
        <v>34</v>
      </c>
      <c r="Z79" t="str">
        <f t="shared" si="8"/>
        <v>0-6</v>
      </c>
      <c r="AA79" t="s">
        <v>567</v>
      </c>
      <c r="AB79">
        <v>75</v>
      </c>
      <c r="AC79" t="str" cm="1">
        <f t="array" ref="AC79">_xlfn.SWITCH(AB79,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79" t="str">
        <f t="shared" si="9"/>
        <v>80%</v>
      </c>
      <c r="AE79" t="s">
        <v>648</v>
      </c>
      <c r="AF79" s="8">
        <f t="shared" si="10"/>
        <v>45890</v>
      </c>
      <c r="AG79" s="8">
        <f>_xlfn.XLOOKUP(AE79, Dev!$A:$A, Dev!$B:$B, "")</f>
        <v>45729.416770833333</v>
      </c>
      <c r="AH79" s="11">
        <f t="shared" si="11"/>
        <v>160.58322916666657</v>
      </c>
    </row>
    <row r="80" spans="1:34" x14ac:dyDescent="0.3">
      <c r="A80" s="1">
        <v>78</v>
      </c>
      <c r="B80" t="s">
        <v>218</v>
      </c>
      <c r="C80">
        <v>550200</v>
      </c>
      <c r="D80">
        <v>440160</v>
      </c>
      <c r="E80" s="2">
        <v>45890</v>
      </c>
      <c r="G80" t="s">
        <v>219</v>
      </c>
      <c r="H80" t="s">
        <v>220</v>
      </c>
      <c r="I80" t="s">
        <v>27</v>
      </c>
      <c r="J80" s="3">
        <v>45890.682638888888</v>
      </c>
      <c r="K80">
        <f t="shared" si="7"/>
        <v>8</v>
      </c>
      <c r="L80">
        <v>2025</v>
      </c>
      <c r="M80">
        <v>2025</v>
      </c>
      <c r="N80">
        <v>2025</v>
      </c>
      <c r="O80">
        <v>2025</v>
      </c>
      <c r="P80" t="s">
        <v>28</v>
      </c>
      <c r="Q80" t="s">
        <v>29</v>
      </c>
      <c r="R80" s="2">
        <v>45266</v>
      </c>
      <c r="S80">
        <v>1</v>
      </c>
      <c r="T80" t="s">
        <v>30</v>
      </c>
      <c r="U80" t="s">
        <v>41</v>
      </c>
      <c r="V80" t="s">
        <v>32</v>
      </c>
      <c r="W80" t="s">
        <v>83</v>
      </c>
      <c r="X80" t="s">
        <v>33</v>
      </c>
      <c r="Y80" t="s">
        <v>34</v>
      </c>
      <c r="Z80" t="str">
        <f t="shared" si="8"/>
        <v>0-6</v>
      </c>
      <c r="AA80" t="s">
        <v>555</v>
      </c>
      <c r="AB80">
        <v>1</v>
      </c>
      <c r="AC80" t="str" cm="1">
        <f t="array" ref="AC80">_xlfn.SWITCH(AB80,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80" t="str">
        <f t="shared" si="9"/>
        <v>80%</v>
      </c>
      <c r="AE80" t="s">
        <v>636</v>
      </c>
      <c r="AF80" s="8">
        <f t="shared" si="10"/>
        <v>45890</v>
      </c>
      <c r="AG80" s="8">
        <f>_xlfn.XLOOKUP(AE80, Dev!$A:$A, Dev!$B:$B, "")</f>
        <v>45812.63957175926</v>
      </c>
      <c r="AH80" s="11">
        <f t="shared" si="11"/>
        <v>77.360428240739566</v>
      </c>
    </row>
    <row r="81" spans="1:34" x14ac:dyDescent="0.3">
      <c r="A81" s="1">
        <v>79</v>
      </c>
      <c r="B81" t="s">
        <v>221</v>
      </c>
      <c r="C81">
        <v>1753579</v>
      </c>
      <c r="D81">
        <v>610379</v>
      </c>
      <c r="E81" s="2">
        <v>45851</v>
      </c>
      <c r="F81" s="2">
        <v>45851</v>
      </c>
      <c r="G81" t="s">
        <v>222</v>
      </c>
      <c r="H81" t="s">
        <v>223</v>
      </c>
      <c r="I81" t="s">
        <v>27</v>
      </c>
      <c r="J81" s="3">
        <v>45890.495833333334</v>
      </c>
      <c r="K81">
        <f t="shared" si="7"/>
        <v>8</v>
      </c>
      <c r="L81">
        <v>2025</v>
      </c>
      <c r="M81">
        <v>2025</v>
      </c>
      <c r="N81">
        <v>2025</v>
      </c>
      <c r="O81">
        <v>2025</v>
      </c>
      <c r="P81" t="s">
        <v>28</v>
      </c>
      <c r="Q81" t="s">
        <v>29</v>
      </c>
      <c r="R81" s="2">
        <v>45544</v>
      </c>
      <c r="S81">
        <v>1</v>
      </c>
      <c r="T81" t="s">
        <v>30</v>
      </c>
      <c r="U81" t="s">
        <v>31</v>
      </c>
      <c r="V81" t="s">
        <v>32</v>
      </c>
      <c r="W81" t="s">
        <v>223</v>
      </c>
      <c r="X81" t="s">
        <v>37</v>
      </c>
      <c r="Y81" t="s">
        <v>34</v>
      </c>
      <c r="Z81" t="str">
        <f t="shared" si="8"/>
        <v>0-6</v>
      </c>
      <c r="AA81" t="s">
        <v>580</v>
      </c>
      <c r="AB81">
        <v>1</v>
      </c>
      <c r="AC81" t="str" cm="1">
        <f t="array" ref="AC81">_xlfn.SWITCH(AB81,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81" t="str">
        <f t="shared" si="9"/>
        <v>34.81%</v>
      </c>
      <c r="AE81" t="s">
        <v>661</v>
      </c>
      <c r="AF81" s="8">
        <f t="shared" si="10"/>
        <v>45851</v>
      </c>
      <c r="AG81" s="8">
        <f>_xlfn.XLOOKUP(AE81, Dev!$A:$A, Dev!$B:$B, "")</f>
        <v>45600.475682870368</v>
      </c>
      <c r="AH81" s="11">
        <f t="shared" si="11"/>
        <v>250.52431712963153</v>
      </c>
    </row>
    <row r="82" spans="1:34" x14ac:dyDescent="0.3">
      <c r="A82" s="1">
        <v>80</v>
      </c>
      <c r="B82" t="s">
        <v>224</v>
      </c>
      <c r="C82">
        <v>623800</v>
      </c>
      <c r="D82">
        <v>499040</v>
      </c>
      <c r="E82" s="2">
        <v>45889</v>
      </c>
      <c r="F82" s="2">
        <v>45889</v>
      </c>
      <c r="G82" t="s">
        <v>90</v>
      </c>
      <c r="H82" t="s">
        <v>225</v>
      </c>
      <c r="I82" t="s">
        <v>27</v>
      </c>
      <c r="J82" s="3">
        <v>45890.398611111108</v>
      </c>
      <c r="K82">
        <f t="shared" si="7"/>
        <v>8</v>
      </c>
      <c r="L82">
        <v>2025</v>
      </c>
      <c r="M82">
        <v>2025</v>
      </c>
      <c r="N82">
        <v>2025</v>
      </c>
      <c r="O82">
        <v>2025</v>
      </c>
      <c r="P82" t="s">
        <v>28</v>
      </c>
      <c r="Q82" t="s">
        <v>29</v>
      </c>
      <c r="R82" s="2">
        <v>45330</v>
      </c>
      <c r="S82">
        <v>1</v>
      </c>
      <c r="T82" t="s">
        <v>30</v>
      </c>
      <c r="U82" t="s">
        <v>31</v>
      </c>
      <c r="V82" t="s">
        <v>32</v>
      </c>
      <c r="W82" t="s">
        <v>477</v>
      </c>
      <c r="X82" t="s">
        <v>42</v>
      </c>
      <c r="Y82" t="s">
        <v>34</v>
      </c>
      <c r="Z82" t="str">
        <f t="shared" si="8"/>
        <v>0-6</v>
      </c>
      <c r="AA82" t="s">
        <v>552</v>
      </c>
      <c r="AB82">
        <v>77</v>
      </c>
      <c r="AC82" t="str" cm="1">
        <f t="array" ref="AC82">_xlfn.SWITCH(AB82,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Bà Rịa - Vũng Tàu</v>
      </c>
      <c r="AD82" t="str">
        <f t="shared" si="9"/>
        <v>80%</v>
      </c>
      <c r="AE82" t="s">
        <v>633</v>
      </c>
      <c r="AF82" s="8">
        <f t="shared" si="10"/>
        <v>45889</v>
      </c>
      <c r="AG82" s="8">
        <f>_xlfn.XLOOKUP(AE82, Dev!$A:$A, Dev!$B:$B, "")</f>
        <v>45717.561261574076</v>
      </c>
      <c r="AH82" s="11">
        <f t="shared" si="11"/>
        <v>171.43873842592438</v>
      </c>
    </row>
    <row r="83" spans="1:34" x14ac:dyDescent="0.3">
      <c r="A83" s="1">
        <v>81</v>
      </c>
      <c r="B83" t="s">
        <v>226</v>
      </c>
      <c r="C83">
        <v>16575315</v>
      </c>
      <c r="D83">
        <v>13388955</v>
      </c>
      <c r="E83" s="2">
        <v>45874</v>
      </c>
      <c r="F83" s="2">
        <v>45880</v>
      </c>
      <c r="G83" t="s">
        <v>39</v>
      </c>
      <c r="H83" t="s">
        <v>227</v>
      </c>
      <c r="I83" t="s">
        <v>27</v>
      </c>
      <c r="J83" s="3">
        <v>45889.887499999997</v>
      </c>
      <c r="K83">
        <f t="shared" si="7"/>
        <v>8</v>
      </c>
      <c r="L83">
        <v>2025</v>
      </c>
      <c r="M83">
        <v>2025</v>
      </c>
      <c r="N83">
        <v>2025</v>
      </c>
      <c r="O83">
        <v>2025</v>
      </c>
      <c r="P83" t="s">
        <v>28</v>
      </c>
      <c r="Q83" t="s">
        <v>29</v>
      </c>
      <c r="R83" s="2">
        <v>45161</v>
      </c>
      <c r="S83">
        <v>2</v>
      </c>
      <c r="T83" t="s">
        <v>30</v>
      </c>
      <c r="U83" t="s">
        <v>41</v>
      </c>
      <c r="V83" t="s">
        <v>71</v>
      </c>
      <c r="W83" t="s">
        <v>478</v>
      </c>
      <c r="X83" t="s">
        <v>33</v>
      </c>
      <c r="Y83" t="s">
        <v>34</v>
      </c>
      <c r="Z83" t="str">
        <f t="shared" si="8"/>
        <v>0-6</v>
      </c>
      <c r="AA83" t="s">
        <v>581</v>
      </c>
      <c r="AB83">
        <v>33</v>
      </c>
      <c r="AC83" t="str" cm="1">
        <f t="array" ref="AC83">_xlfn.SWITCH(AB83,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Không xác định</v>
      </c>
      <c r="AD83" t="str">
        <f t="shared" si="9"/>
        <v>80.78%</v>
      </c>
      <c r="AE83" t="s">
        <v>662</v>
      </c>
      <c r="AF83" s="8">
        <f t="shared" si="10"/>
        <v>45874</v>
      </c>
      <c r="AG83" s="8">
        <f>_xlfn.XLOOKUP(AE83, Dev!$A:$A, Dev!$B:$B, "")</f>
        <v>45710.396064814813</v>
      </c>
      <c r="AH83" s="11">
        <f t="shared" si="11"/>
        <v>163.60393518518686</v>
      </c>
    </row>
    <row r="84" spans="1:34" x14ac:dyDescent="0.3">
      <c r="A84" s="1">
        <v>82</v>
      </c>
      <c r="B84" t="s">
        <v>228</v>
      </c>
      <c r="C84">
        <v>1692319</v>
      </c>
      <c r="D84">
        <v>886770</v>
      </c>
      <c r="E84" s="2">
        <v>45884</v>
      </c>
      <c r="G84" t="s">
        <v>229</v>
      </c>
      <c r="H84" t="s">
        <v>230</v>
      </c>
      <c r="I84" t="s">
        <v>27</v>
      </c>
      <c r="J84" s="3">
        <v>45889.840277777781</v>
      </c>
      <c r="K84">
        <f t="shared" si="7"/>
        <v>8</v>
      </c>
      <c r="L84">
        <v>2025</v>
      </c>
      <c r="M84">
        <v>2025</v>
      </c>
      <c r="N84">
        <v>2025</v>
      </c>
      <c r="O84">
        <v>2025</v>
      </c>
      <c r="P84" t="s">
        <v>28</v>
      </c>
      <c r="Q84" t="s">
        <v>29</v>
      </c>
      <c r="R84" s="2">
        <v>45146</v>
      </c>
      <c r="S84">
        <v>2</v>
      </c>
      <c r="T84" t="s">
        <v>30</v>
      </c>
      <c r="U84" t="s">
        <v>31</v>
      </c>
      <c r="V84" t="s">
        <v>71</v>
      </c>
      <c r="W84" t="s">
        <v>479</v>
      </c>
      <c r="X84" t="s">
        <v>42</v>
      </c>
      <c r="Y84" t="s">
        <v>34</v>
      </c>
      <c r="Z84" t="str">
        <f t="shared" si="8"/>
        <v>0-6</v>
      </c>
      <c r="AA84" t="s">
        <v>582</v>
      </c>
      <c r="AB84">
        <v>49</v>
      </c>
      <c r="AC84" t="str" cm="1">
        <f t="array" ref="AC84">_xlfn.SWITCH(AB84,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Quảng Nam</v>
      </c>
      <c r="AD84" t="str">
        <f t="shared" si="9"/>
        <v>52.4%</v>
      </c>
      <c r="AE84" t="s">
        <v>663</v>
      </c>
      <c r="AF84" s="8">
        <f t="shared" si="10"/>
        <v>45884</v>
      </c>
      <c r="AG84" s="8">
        <f>_xlfn.XLOOKUP(AE84, Dev!$A:$A, Dev!$B:$B, "")</f>
        <v>45629.639224537037</v>
      </c>
      <c r="AH84" s="11">
        <f t="shared" si="11"/>
        <v>254.36077546296292</v>
      </c>
    </row>
    <row r="85" spans="1:34" x14ac:dyDescent="0.3">
      <c r="A85" s="1">
        <v>83</v>
      </c>
      <c r="B85" t="s">
        <v>231</v>
      </c>
      <c r="C85">
        <v>582450</v>
      </c>
      <c r="D85">
        <v>465960</v>
      </c>
      <c r="E85" s="2">
        <v>45887</v>
      </c>
      <c r="F85" s="2">
        <v>45887</v>
      </c>
      <c r="G85" t="s">
        <v>93</v>
      </c>
      <c r="H85" t="s">
        <v>232</v>
      </c>
      <c r="I85" t="s">
        <v>27</v>
      </c>
      <c r="J85" s="3">
        <v>45888.588194444441</v>
      </c>
      <c r="K85">
        <f t="shared" si="7"/>
        <v>8</v>
      </c>
      <c r="L85">
        <v>2025</v>
      </c>
      <c r="M85">
        <v>2025</v>
      </c>
      <c r="N85">
        <v>2025</v>
      </c>
      <c r="O85">
        <v>2025</v>
      </c>
      <c r="P85" t="s">
        <v>28</v>
      </c>
      <c r="Q85" t="s">
        <v>29</v>
      </c>
      <c r="R85" s="2">
        <v>45609</v>
      </c>
      <c r="S85">
        <v>0</v>
      </c>
      <c r="T85" t="s">
        <v>30</v>
      </c>
      <c r="U85" t="s">
        <v>41</v>
      </c>
      <c r="V85" t="s">
        <v>32</v>
      </c>
      <c r="W85" t="s">
        <v>480</v>
      </c>
      <c r="X85" t="s">
        <v>42</v>
      </c>
      <c r="Y85" t="s">
        <v>34</v>
      </c>
      <c r="Z85" t="str">
        <f t="shared" si="8"/>
        <v>0-6</v>
      </c>
      <c r="AA85" t="s">
        <v>567</v>
      </c>
      <c r="AB85">
        <v>75</v>
      </c>
      <c r="AC85" t="str" cm="1">
        <f t="array" ref="AC85">_xlfn.SWITCH(AB85,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85" t="str">
        <f t="shared" si="9"/>
        <v>80%</v>
      </c>
      <c r="AE85" t="s">
        <v>648</v>
      </c>
      <c r="AF85" s="8">
        <f t="shared" si="10"/>
        <v>45887</v>
      </c>
      <c r="AG85" s="8">
        <f>_xlfn.XLOOKUP(AE85, Dev!$A:$A, Dev!$B:$B, "")</f>
        <v>45729.416770833333</v>
      </c>
      <c r="AH85" s="11">
        <f t="shared" si="11"/>
        <v>157.58322916666657</v>
      </c>
    </row>
    <row r="86" spans="1:34" x14ac:dyDescent="0.3">
      <c r="A86" s="1">
        <v>84</v>
      </c>
      <c r="B86" t="s">
        <v>233</v>
      </c>
      <c r="C86">
        <v>181500</v>
      </c>
      <c r="D86">
        <v>145200</v>
      </c>
      <c r="E86" s="2">
        <v>45856</v>
      </c>
      <c r="F86" s="2">
        <v>45856</v>
      </c>
      <c r="G86" t="s">
        <v>114</v>
      </c>
      <c r="H86" t="s">
        <v>234</v>
      </c>
      <c r="I86" t="s">
        <v>27</v>
      </c>
      <c r="J86" s="3">
        <v>45888.515972222223</v>
      </c>
      <c r="K86">
        <f t="shared" si="7"/>
        <v>8</v>
      </c>
      <c r="L86">
        <v>2025</v>
      </c>
      <c r="M86">
        <v>2025</v>
      </c>
      <c r="N86">
        <v>2025</v>
      </c>
      <c r="O86">
        <v>2025</v>
      </c>
      <c r="P86" t="s">
        <v>28</v>
      </c>
      <c r="Q86" t="s">
        <v>29</v>
      </c>
      <c r="R86" s="2">
        <v>45263</v>
      </c>
      <c r="S86">
        <v>1</v>
      </c>
      <c r="T86" t="s">
        <v>30</v>
      </c>
      <c r="U86" t="s">
        <v>31</v>
      </c>
      <c r="V86" t="s">
        <v>32</v>
      </c>
      <c r="W86" t="s">
        <v>256</v>
      </c>
      <c r="X86" t="s">
        <v>180</v>
      </c>
      <c r="Y86" t="s">
        <v>34</v>
      </c>
      <c r="Z86" t="str">
        <f t="shared" si="8"/>
        <v>0-6</v>
      </c>
      <c r="AA86" t="s">
        <v>583</v>
      </c>
      <c r="AB86">
        <v>79</v>
      </c>
      <c r="AC86" t="str" cm="1">
        <f t="array" ref="AC86">_xlfn.SWITCH(AB86,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86" t="str">
        <f t="shared" si="9"/>
        <v>80%</v>
      </c>
      <c r="AE86" t="s">
        <v>664</v>
      </c>
      <c r="AF86" s="8">
        <f t="shared" si="10"/>
        <v>45856</v>
      </c>
      <c r="AG86" s="8">
        <f>_xlfn.XLOOKUP(AE86, Dev!$A:$A, Dev!$B:$B, "")</f>
        <v>45684.666458333333</v>
      </c>
      <c r="AH86" s="11">
        <f t="shared" si="11"/>
        <v>171.33354166666686</v>
      </c>
    </row>
    <row r="87" spans="1:34" x14ac:dyDescent="0.3">
      <c r="A87" s="1">
        <v>85</v>
      </c>
      <c r="B87" t="s">
        <v>235</v>
      </c>
      <c r="C87">
        <v>338199</v>
      </c>
      <c r="D87">
        <v>338199</v>
      </c>
      <c r="E87" s="2">
        <v>45880</v>
      </c>
      <c r="F87" s="2">
        <v>45880</v>
      </c>
      <c r="G87" t="s">
        <v>194</v>
      </c>
      <c r="H87" t="s">
        <v>236</v>
      </c>
      <c r="I87" t="s">
        <v>27</v>
      </c>
      <c r="J87" s="3">
        <v>45887.631249999999</v>
      </c>
      <c r="K87">
        <f t="shared" si="7"/>
        <v>8</v>
      </c>
      <c r="L87">
        <v>2025</v>
      </c>
      <c r="M87">
        <v>2025</v>
      </c>
      <c r="N87">
        <v>2025</v>
      </c>
      <c r="O87">
        <v>2025</v>
      </c>
      <c r="P87" t="s">
        <v>28</v>
      </c>
      <c r="Q87" t="s">
        <v>29</v>
      </c>
      <c r="R87" s="2">
        <v>45656</v>
      </c>
      <c r="S87">
        <v>0</v>
      </c>
      <c r="T87" t="s">
        <v>30</v>
      </c>
      <c r="U87" t="s">
        <v>41</v>
      </c>
      <c r="V87" t="s">
        <v>32</v>
      </c>
      <c r="W87" t="s">
        <v>65</v>
      </c>
      <c r="X87" t="s">
        <v>33</v>
      </c>
      <c r="Y87" t="s">
        <v>34</v>
      </c>
      <c r="Z87" t="str">
        <f t="shared" si="8"/>
        <v>0-6</v>
      </c>
      <c r="AA87" t="s">
        <v>575</v>
      </c>
      <c r="AB87">
        <v>82</v>
      </c>
      <c r="AC87" t="str" cm="1">
        <f t="array" ref="AC87">_xlfn.SWITCH(AB87,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87" t="str">
        <f t="shared" si="9"/>
        <v>100%</v>
      </c>
      <c r="AE87" t="s">
        <v>656</v>
      </c>
      <c r="AF87" s="8">
        <f t="shared" si="10"/>
        <v>45880</v>
      </c>
      <c r="AG87" s="8">
        <f>_xlfn.XLOOKUP(AE87, Dev!$A:$A, Dev!$B:$B, "")</f>
        <v>45710.506944444445</v>
      </c>
      <c r="AH87" s="11">
        <f t="shared" si="11"/>
        <v>169.49305555555475</v>
      </c>
    </row>
    <row r="88" spans="1:34" x14ac:dyDescent="0.3">
      <c r="A88" s="1">
        <v>86</v>
      </c>
      <c r="B88" t="s">
        <v>237</v>
      </c>
      <c r="C88">
        <v>576859</v>
      </c>
      <c r="D88">
        <v>426859</v>
      </c>
      <c r="E88" s="2">
        <v>45880</v>
      </c>
      <c r="F88" s="2">
        <v>45880</v>
      </c>
      <c r="G88" t="s">
        <v>194</v>
      </c>
      <c r="H88" t="s">
        <v>238</v>
      </c>
      <c r="I88" t="s">
        <v>27</v>
      </c>
      <c r="J88" s="3">
        <v>45887.629861111112</v>
      </c>
      <c r="K88">
        <f t="shared" si="7"/>
        <v>8</v>
      </c>
      <c r="L88">
        <v>2025</v>
      </c>
      <c r="M88">
        <v>2025</v>
      </c>
      <c r="N88">
        <v>2025</v>
      </c>
      <c r="O88">
        <v>2025</v>
      </c>
      <c r="P88" t="s">
        <v>28</v>
      </c>
      <c r="Q88" t="s">
        <v>29</v>
      </c>
      <c r="R88" s="2">
        <v>45656</v>
      </c>
      <c r="S88">
        <v>0</v>
      </c>
      <c r="T88" t="s">
        <v>30</v>
      </c>
      <c r="U88" t="s">
        <v>41</v>
      </c>
      <c r="V88" t="s">
        <v>32</v>
      </c>
      <c r="W88" t="s">
        <v>238</v>
      </c>
      <c r="X88" t="s">
        <v>42</v>
      </c>
      <c r="Y88" t="s">
        <v>34</v>
      </c>
      <c r="Z88" t="str">
        <f t="shared" si="8"/>
        <v>0-6</v>
      </c>
      <c r="AA88" t="s">
        <v>577</v>
      </c>
      <c r="AB88">
        <v>82</v>
      </c>
      <c r="AC88" t="str" cm="1">
        <f t="array" ref="AC88">_xlfn.SWITCH(AB88,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88" t="str">
        <f t="shared" si="9"/>
        <v>74%</v>
      </c>
      <c r="AE88" t="s">
        <v>658</v>
      </c>
      <c r="AF88" s="8">
        <f t="shared" si="10"/>
        <v>45880</v>
      </c>
      <c r="AG88" s="8">
        <f>_xlfn.XLOOKUP(AE88, Dev!$A:$A, Dev!$B:$B, "")</f>
        <v>45710.518067129633</v>
      </c>
      <c r="AH88" s="11">
        <f t="shared" si="11"/>
        <v>169.48193287036702</v>
      </c>
    </row>
    <row r="89" spans="1:34" x14ac:dyDescent="0.3">
      <c r="A89" s="1">
        <v>87</v>
      </c>
      <c r="B89" t="s">
        <v>239</v>
      </c>
      <c r="C89">
        <v>787000</v>
      </c>
      <c r="D89">
        <v>787000</v>
      </c>
      <c r="E89" s="2">
        <v>45885</v>
      </c>
      <c r="F89" s="2">
        <v>45885</v>
      </c>
      <c r="G89" t="s">
        <v>46</v>
      </c>
      <c r="H89" t="s">
        <v>240</v>
      </c>
      <c r="I89" t="s">
        <v>27</v>
      </c>
      <c r="J89" s="3">
        <v>45886.96875</v>
      </c>
      <c r="K89">
        <f t="shared" si="7"/>
        <v>8</v>
      </c>
      <c r="L89">
        <v>2025</v>
      </c>
      <c r="M89">
        <v>2025</v>
      </c>
      <c r="N89">
        <v>2025</v>
      </c>
      <c r="O89">
        <v>2025</v>
      </c>
      <c r="P89" t="s">
        <v>28</v>
      </c>
      <c r="Q89" t="s">
        <v>29</v>
      </c>
      <c r="R89" s="2">
        <v>45541</v>
      </c>
      <c r="S89">
        <v>1</v>
      </c>
      <c r="T89" t="s">
        <v>30</v>
      </c>
      <c r="U89" t="s">
        <v>31</v>
      </c>
      <c r="V89" t="s">
        <v>32</v>
      </c>
      <c r="W89" t="s">
        <v>481</v>
      </c>
      <c r="X89" t="s">
        <v>42</v>
      </c>
      <c r="Y89" t="s">
        <v>34</v>
      </c>
      <c r="Z89" t="str">
        <f t="shared" si="8"/>
        <v>0-6</v>
      </c>
      <c r="AA89" t="s">
        <v>584</v>
      </c>
      <c r="AB89">
        <v>1</v>
      </c>
      <c r="AC89" t="str" cm="1">
        <f t="array" ref="AC89">_xlfn.SWITCH(AB89,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89" t="str">
        <f t="shared" si="9"/>
        <v>100%</v>
      </c>
      <c r="AE89" t="s">
        <v>665</v>
      </c>
      <c r="AF89" s="8">
        <f t="shared" si="10"/>
        <v>45885</v>
      </c>
      <c r="AG89" s="8">
        <f>_xlfn.XLOOKUP(AE89, Dev!$A:$A, Dev!$B:$B, "")</f>
        <v>45590.628159722219</v>
      </c>
      <c r="AH89" s="11">
        <f t="shared" si="11"/>
        <v>294.3718402777813</v>
      </c>
    </row>
    <row r="90" spans="1:34" x14ac:dyDescent="0.3">
      <c r="A90" s="1">
        <v>88</v>
      </c>
      <c r="B90" t="s">
        <v>241</v>
      </c>
      <c r="C90">
        <v>455000</v>
      </c>
      <c r="D90">
        <v>104000</v>
      </c>
      <c r="E90" s="2">
        <v>45881</v>
      </c>
      <c r="F90" s="2">
        <v>45881</v>
      </c>
      <c r="G90" t="s">
        <v>76</v>
      </c>
      <c r="H90" t="s">
        <v>242</v>
      </c>
      <c r="I90" t="s">
        <v>27</v>
      </c>
      <c r="J90" s="3">
        <v>45884.788888888892</v>
      </c>
      <c r="K90">
        <f t="shared" si="7"/>
        <v>8</v>
      </c>
      <c r="L90">
        <v>2025</v>
      </c>
      <c r="M90">
        <v>2025</v>
      </c>
      <c r="N90">
        <v>2025</v>
      </c>
      <c r="O90">
        <v>2025</v>
      </c>
      <c r="P90" t="s">
        <v>28</v>
      </c>
      <c r="Q90" t="s">
        <v>29</v>
      </c>
      <c r="R90" s="2">
        <v>45487</v>
      </c>
      <c r="S90">
        <v>1</v>
      </c>
      <c r="T90" t="s">
        <v>30</v>
      </c>
      <c r="U90" t="s">
        <v>41</v>
      </c>
      <c r="V90" t="s">
        <v>32</v>
      </c>
      <c r="W90" t="s">
        <v>482</v>
      </c>
      <c r="X90" t="s">
        <v>37</v>
      </c>
      <c r="Y90" t="s">
        <v>34</v>
      </c>
      <c r="Z90" t="str">
        <f t="shared" si="8"/>
        <v>0-6</v>
      </c>
      <c r="AA90" t="s">
        <v>547</v>
      </c>
      <c r="AB90">
        <v>27</v>
      </c>
      <c r="AC90" t="str" cm="1">
        <f t="array" ref="AC90">_xlfn.SWITCH(AB90,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90" t="str">
        <f t="shared" si="9"/>
        <v>22.86%</v>
      </c>
      <c r="AE90" t="s">
        <v>628</v>
      </c>
      <c r="AF90" s="8">
        <f t="shared" si="10"/>
        <v>45881</v>
      </c>
      <c r="AG90" s="8">
        <f>_xlfn.XLOOKUP(AE90, Dev!$A:$A, Dev!$B:$B, "")</f>
        <v>45748.820972222224</v>
      </c>
      <c r="AH90" s="11">
        <f t="shared" si="11"/>
        <v>132.17902777777635</v>
      </c>
    </row>
    <row r="91" spans="1:34" x14ac:dyDescent="0.3">
      <c r="A91" s="1">
        <v>89</v>
      </c>
      <c r="B91" t="s">
        <v>243</v>
      </c>
      <c r="C91">
        <v>204500</v>
      </c>
      <c r="D91">
        <v>96400</v>
      </c>
      <c r="E91" s="2">
        <v>45879</v>
      </c>
      <c r="F91" s="2">
        <v>45879</v>
      </c>
      <c r="G91" t="s">
        <v>114</v>
      </c>
      <c r="H91" t="s">
        <v>244</v>
      </c>
      <c r="I91" t="s">
        <v>27</v>
      </c>
      <c r="J91" s="3">
        <v>45882.57916666667</v>
      </c>
      <c r="K91">
        <f t="shared" si="7"/>
        <v>8</v>
      </c>
      <c r="L91">
        <v>2025</v>
      </c>
      <c r="M91">
        <v>2025</v>
      </c>
      <c r="N91">
        <v>2025</v>
      </c>
      <c r="O91">
        <v>2025</v>
      </c>
      <c r="P91" t="s">
        <v>28</v>
      </c>
      <c r="Q91" t="s">
        <v>29</v>
      </c>
      <c r="R91" s="2">
        <v>44269</v>
      </c>
      <c r="S91">
        <v>4</v>
      </c>
      <c r="T91" t="s">
        <v>30</v>
      </c>
      <c r="U91" t="s">
        <v>41</v>
      </c>
      <c r="V91" t="s">
        <v>32</v>
      </c>
      <c r="W91" t="s">
        <v>483</v>
      </c>
      <c r="X91" t="s">
        <v>33</v>
      </c>
      <c r="Y91" t="s">
        <v>34</v>
      </c>
      <c r="Z91" t="str">
        <f t="shared" si="8"/>
        <v>0-6</v>
      </c>
      <c r="AA91" t="s">
        <v>541</v>
      </c>
      <c r="AB91">
        <v>79</v>
      </c>
      <c r="AC91" t="str" cm="1">
        <f t="array" ref="AC91">_xlfn.SWITCH(AB91,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1" t="str">
        <f t="shared" si="9"/>
        <v>47.14%</v>
      </c>
      <c r="AE91" t="s">
        <v>622</v>
      </c>
      <c r="AF91" s="8">
        <f t="shared" si="10"/>
        <v>45879</v>
      </c>
      <c r="AG91" s="8">
        <f>_xlfn.XLOOKUP(AE91, Dev!$A:$A, Dev!$B:$B, "")</f>
        <v>45689</v>
      </c>
      <c r="AH91" s="11">
        <f t="shared" si="11"/>
        <v>190</v>
      </c>
    </row>
    <row r="92" spans="1:34" x14ac:dyDescent="0.3">
      <c r="A92" s="1">
        <v>90</v>
      </c>
      <c r="B92" t="s">
        <v>245</v>
      </c>
      <c r="C92">
        <v>370000</v>
      </c>
      <c r="D92">
        <v>296000</v>
      </c>
      <c r="E92" s="2">
        <v>45877</v>
      </c>
      <c r="F92" s="2">
        <v>45877</v>
      </c>
      <c r="G92" t="s">
        <v>114</v>
      </c>
      <c r="H92" t="s">
        <v>246</v>
      </c>
      <c r="I92" t="s">
        <v>27</v>
      </c>
      <c r="J92" s="3">
        <v>45882.576388888891</v>
      </c>
      <c r="K92">
        <f t="shared" si="7"/>
        <v>8</v>
      </c>
      <c r="L92">
        <v>2025</v>
      </c>
      <c r="M92">
        <v>2025</v>
      </c>
      <c r="N92">
        <v>2025</v>
      </c>
      <c r="O92">
        <v>2025</v>
      </c>
      <c r="P92" t="s">
        <v>28</v>
      </c>
      <c r="Q92" t="s">
        <v>29</v>
      </c>
      <c r="R92" s="2">
        <v>44269</v>
      </c>
      <c r="S92">
        <v>4</v>
      </c>
      <c r="T92" t="s">
        <v>30</v>
      </c>
      <c r="U92" t="s">
        <v>41</v>
      </c>
      <c r="V92" t="s">
        <v>32</v>
      </c>
      <c r="W92" t="s">
        <v>484</v>
      </c>
      <c r="X92" t="s">
        <v>33</v>
      </c>
      <c r="Y92" t="s">
        <v>34</v>
      </c>
      <c r="Z92" t="str">
        <f t="shared" si="8"/>
        <v>0-6</v>
      </c>
      <c r="AA92" t="s">
        <v>541</v>
      </c>
      <c r="AB92">
        <v>79</v>
      </c>
      <c r="AC92" t="str" cm="1">
        <f t="array" ref="AC92">_xlfn.SWITCH(AB92,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2" t="str">
        <f t="shared" si="9"/>
        <v>80%</v>
      </c>
      <c r="AE92" t="s">
        <v>622</v>
      </c>
      <c r="AF92" s="8">
        <f t="shared" si="10"/>
        <v>45877</v>
      </c>
      <c r="AG92" s="8">
        <f>_xlfn.XLOOKUP(AE92, Dev!$A:$A, Dev!$B:$B, "")</f>
        <v>45689</v>
      </c>
      <c r="AH92" s="11">
        <f t="shared" si="11"/>
        <v>188</v>
      </c>
    </row>
    <row r="93" spans="1:34" x14ac:dyDescent="0.3">
      <c r="A93" s="1">
        <v>91</v>
      </c>
      <c r="B93" t="s">
        <v>247</v>
      </c>
      <c r="C93">
        <v>427346</v>
      </c>
      <c r="D93">
        <v>427346</v>
      </c>
      <c r="E93" s="2">
        <v>45877</v>
      </c>
      <c r="F93" s="2">
        <v>45877</v>
      </c>
      <c r="G93" t="s">
        <v>194</v>
      </c>
      <c r="H93" t="s">
        <v>195</v>
      </c>
      <c r="I93" t="s">
        <v>27</v>
      </c>
      <c r="J93" s="3">
        <v>45881.84652777778</v>
      </c>
      <c r="K93">
        <f t="shared" si="7"/>
        <v>8</v>
      </c>
      <c r="L93">
        <v>2025</v>
      </c>
      <c r="M93">
        <v>2025</v>
      </c>
      <c r="N93">
        <v>2025</v>
      </c>
      <c r="O93">
        <v>2025</v>
      </c>
      <c r="P93" t="s">
        <v>28</v>
      </c>
      <c r="Q93" t="s">
        <v>29</v>
      </c>
      <c r="R93" s="2">
        <v>45656</v>
      </c>
      <c r="S93">
        <v>0</v>
      </c>
      <c r="T93" t="s">
        <v>30</v>
      </c>
      <c r="U93" t="s">
        <v>41</v>
      </c>
      <c r="V93" t="s">
        <v>32</v>
      </c>
      <c r="W93" t="s">
        <v>74</v>
      </c>
      <c r="X93" t="s">
        <v>42</v>
      </c>
      <c r="Y93" t="s">
        <v>34</v>
      </c>
      <c r="Z93" t="str">
        <f t="shared" si="8"/>
        <v>0-6</v>
      </c>
      <c r="AA93" t="s">
        <v>577</v>
      </c>
      <c r="AB93">
        <v>82</v>
      </c>
      <c r="AC93" t="str" cm="1">
        <f t="array" ref="AC93">_xlfn.SWITCH(AB93,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93" t="str">
        <f t="shared" si="9"/>
        <v>100%</v>
      </c>
      <c r="AE93" t="s">
        <v>658</v>
      </c>
      <c r="AF93" s="8">
        <f t="shared" si="10"/>
        <v>45877</v>
      </c>
      <c r="AG93" s="8">
        <f>_xlfn.XLOOKUP(AE93, Dev!$A:$A, Dev!$B:$B, "")</f>
        <v>45710.518067129633</v>
      </c>
      <c r="AH93" s="11">
        <f t="shared" si="11"/>
        <v>166.48193287036702</v>
      </c>
    </row>
    <row r="94" spans="1:34" x14ac:dyDescent="0.3">
      <c r="A94" s="1">
        <v>92</v>
      </c>
      <c r="B94" t="s">
        <v>248</v>
      </c>
      <c r="C94">
        <v>895644</v>
      </c>
      <c r="D94">
        <v>692699</v>
      </c>
      <c r="E94" s="2">
        <v>45877</v>
      </c>
      <c r="F94" s="2">
        <v>45877</v>
      </c>
      <c r="G94" t="s">
        <v>194</v>
      </c>
      <c r="H94" t="s">
        <v>249</v>
      </c>
      <c r="I94" t="s">
        <v>27</v>
      </c>
      <c r="J94" s="3">
        <v>45881.844444444447</v>
      </c>
      <c r="K94">
        <f t="shared" si="7"/>
        <v>8</v>
      </c>
      <c r="L94">
        <v>2025</v>
      </c>
      <c r="M94">
        <v>2025</v>
      </c>
      <c r="N94">
        <v>2025</v>
      </c>
      <c r="O94">
        <v>2025</v>
      </c>
      <c r="P94" t="s">
        <v>28</v>
      </c>
      <c r="Q94" t="s">
        <v>29</v>
      </c>
      <c r="R94" s="2">
        <v>45656</v>
      </c>
      <c r="S94">
        <v>0</v>
      </c>
      <c r="T94" t="s">
        <v>30</v>
      </c>
      <c r="U94" t="s">
        <v>41</v>
      </c>
      <c r="V94" t="s">
        <v>32</v>
      </c>
      <c r="W94" t="s">
        <v>485</v>
      </c>
      <c r="X94" t="s">
        <v>33</v>
      </c>
      <c r="Y94" t="s">
        <v>34</v>
      </c>
      <c r="Z94" t="str">
        <f t="shared" si="8"/>
        <v>0-6</v>
      </c>
      <c r="AA94" t="s">
        <v>575</v>
      </c>
      <c r="AB94">
        <v>82</v>
      </c>
      <c r="AC94" t="str" cm="1">
        <f t="array" ref="AC94">_xlfn.SWITCH(AB94,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94" t="str">
        <f t="shared" si="9"/>
        <v>77.34%</v>
      </c>
      <c r="AE94" t="s">
        <v>656</v>
      </c>
      <c r="AF94" s="8">
        <f t="shared" si="10"/>
        <v>45877</v>
      </c>
      <c r="AG94" s="8">
        <f>_xlfn.XLOOKUP(AE94, Dev!$A:$A, Dev!$B:$B, "")</f>
        <v>45710.506944444445</v>
      </c>
      <c r="AH94" s="11">
        <f t="shared" si="11"/>
        <v>166.49305555555475</v>
      </c>
    </row>
    <row r="95" spans="1:34" x14ac:dyDescent="0.3">
      <c r="A95" s="1">
        <v>93</v>
      </c>
      <c r="B95" t="s">
        <v>250</v>
      </c>
      <c r="C95">
        <v>659722</v>
      </c>
      <c r="D95">
        <v>317811</v>
      </c>
      <c r="E95" s="2">
        <v>45879</v>
      </c>
      <c r="F95" s="2">
        <v>45879</v>
      </c>
      <c r="G95" t="s">
        <v>67</v>
      </c>
      <c r="H95" t="s">
        <v>251</v>
      </c>
      <c r="I95" t="s">
        <v>27</v>
      </c>
      <c r="J95" s="3">
        <v>45881.679166666669</v>
      </c>
      <c r="K95">
        <f t="shared" si="7"/>
        <v>8</v>
      </c>
      <c r="L95">
        <v>2025</v>
      </c>
      <c r="M95">
        <v>2025</v>
      </c>
      <c r="N95">
        <v>2025</v>
      </c>
      <c r="O95">
        <v>2025</v>
      </c>
      <c r="P95" t="s">
        <v>28</v>
      </c>
      <c r="Q95" t="s">
        <v>29</v>
      </c>
      <c r="R95" s="2">
        <v>45480</v>
      </c>
      <c r="S95">
        <v>1</v>
      </c>
      <c r="T95" t="s">
        <v>30</v>
      </c>
      <c r="U95" t="s">
        <v>41</v>
      </c>
      <c r="V95" t="s">
        <v>32</v>
      </c>
      <c r="W95" t="s">
        <v>486</v>
      </c>
      <c r="X95" t="s">
        <v>33</v>
      </c>
      <c r="Y95" t="s">
        <v>34</v>
      </c>
      <c r="Z95" t="str">
        <f t="shared" si="8"/>
        <v>0-6</v>
      </c>
      <c r="AA95" t="s">
        <v>585</v>
      </c>
      <c r="AB95">
        <v>79</v>
      </c>
      <c r="AC95" t="str" cm="1">
        <f t="array" ref="AC95">_xlfn.SWITCH(AB95,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5" t="str">
        <f t="shared" si="9"/>
        <v>48.17%</v>
      </c>
      <c r="AE95" t="s">
        <v>666</v>
      </c>
      <c r="AF95" s="8">
        <f t="shared" si="10"/>
        <v>45879</v>
      </c>
      <c r="AG95" s="8">
        <f>_xlfn.XLOOKUP(AE95, Dev!$A:$A, Dev!$B:$B, "")</f>
        <v>45708</v>
      </c>
      <c r="AH95" s="11">
        <f t="shared" si="11"/>
        <v>171</v>
      </c>
    </row>
    <row r="96" spans="1:34" x14ac:dyDescent="0.3">
      <c r="A96" s="1">
        <v>94</v>
      </c>
      <c r="B96" t="s">
        <v>252</v>
      </c>
      <c r="C96">
        <v>238500</v>
      </c>
      <c r="D96">
        <v>190800</v>
      </c>
      <c r="E96" s="2">
        <v>45865</v>
      </c>
      <c r="F96" s="2">
        <v>45865</v>
      </c>
      <c r="G96" t="s">
        <v>114</v>
      </c>
      <c r="H96" t="s">
        <v>123</v>
      </c>
      <c r="I96" t="s">
        <v>27</v>
      </c>
      <c r="J96" s="3">
        <v>45880.964583333334</v>
      </c>
      <c r="K96">
        <f t="shared" si="7"/>
        <v>8</v>
      </c>
      <c r="L96">
        <v>2025</v>
      </c>
      <c r="M96">
        <v>2025</v>
      </c>
      <c r="N96">
        <v>2025</v>
      </c>
      <c r="O96">
        <v>2025</v>
      </c>
      <c r="P96" t="s">
        <v>28</v>
      </c>
      <c r="Q96" t="s">
        <v>29</v>
      </c>
      <c r="R96" s="2">
        <v>43910</v>
      </c>
      <c r="S96">
        <v>5</v>
      </c>
      <c r="T96" t="s">
        <v>30</v>
      </c>
      <c r="U96" t="s">
        <v>41</v>
      </c>
      <c r="V96" t="s">
        <v>32</v>
      </c>
      <c r="W96" t="s">
        <v>459</v>
      </c>
      <c r="X96" t="s">
        <v>33</v>
      </c>
      <c r="Y96" t="s">
        <v>34</v>
      </c>
      <c r="Z96" t="str">
        <f t="shared" si="8"/>
        <v>0-6</v>
      </c>
      <c r="AA96" t="s">
        <v>586</v>
      </c>
      <c r="AB96">
        <v>79</v>
      </c>
      <c r="AC96" t="str" cm="1">
        <f t="array" ref="AC96">_xlfn.SWITCH(AB96,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6" t="str">
        <f t="shared" si="9"/>
        <v>80%</v>
      </c>
      <c r="AE96" t="s">
        <v>667</v>
      </c>
      <c r="AF96" s="8">
        <f t="shared" si="10"/>
        <v>45865</v>
      </c>
      <c r="AG96" s="8">
        <f>_xlfn.XLOOKUP(AE96, Dev!$A:$A, Dev!$B:$B, "")</f>
        <v>45684.657766203702</v>
      </c>
      <c r="AH96" s="11">
        <f t="shared" si="11"/>
        <v>180.34223379629839</v>
      </c>
    </row>
    <row r="97" spans="1:34" x14ac:dyDescent="0.3">
      <c r="A97" s="1">
        <v>95</v>
      </c>
      <c r="B97" t="s">
        <v>253</v>
      </c>
      <c r="C97">
        <v>152500</v>
      </c>
      <c r="D97">
        <v>122000</v>
      </c>
      <c r="E97" s="2">
        <v>45862</v>
      </c>
      <c r="F97" s="2">
        <v>45862</v>
      </c>
      <c r="G97" t="s">
        <v>114</v>
      </c>
      <c r="H97" t="s">
        <v>83</v>
      </c>
      <c r="I97" t="s">
        <v>27</v>
      </c>
      <c r="J97" s="3">
        <v>45880.961111111108</v>
      </c>
      <c r="K97">
        <f t="shared" si="7"/>
        <v>8</v>
      </c>
      <c r="L97">
        <v>2025</v>
      </c>
      <c r="M97">
        <v>2025</v>
      </c>
      <c r="N97">
        <v>2025</v>
      </c>
      <c r="O97">
        <v>2025</v>
      </c>
      <c r="P97" t="s">
        <v>28</v>
      </c>
      <c r="Q97" t="s">
        <v>29</v>
      </c>
      <c r="R97" s="2">
        <v>43910</v>
      </c>
      <c r="S97">
        <v>5</v>
      </c>
      <c r="T97" t="s">
        <v>30</v>
      </c>
      <c r="U97" t="s">
        <v>41</v>
      </c>
      <c r="V97" t="s">
        <v>32</v>
      </c>
      <c r="W97" t="s">
        <v>83</v>
      </c>
      <c r="X97" t="s">
        <v>33</v>
      </c>
      <c r="Y97" t="s">
        <v>34</v>
      </c>
      <c r="Z97" t="str">
        <f t="shared" si="8"/>
        <v>0-6</v>
      </c>
      <c r="AA97" t="s">
        <v>586</v>
      </c>
      <c r="AB97">
        <v>79</v>
      </c>
      <c r="AC97" t="str" cm="1">
        <f t="array" ref="AC97">_xlfn.SWITCH(AB97,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7" t="str">
        <f t="shared" si="9"/>
        <v>80%</v>
      </c>
      <c r="AE97" t="s">
        <v>667</v>
      </c>
      <c r="AF97" s="8">
        <f t="shared" si="10"/>
        <v>45862</v>
      </c>
      <c r="AG97" s="8">
        <f>_xlfn.XLOOKUP(AE97, Dev!$A:$A, Dev!$B:$B, "")</f>
        <v>45684.657766203702</v>
      </c>
      <c r="AH97" s="11">
        <f t="shared" si="11"/>
        <v>177.34223379629839</v>
      </c>
    </row>
    <row r="98" spans="1:34" x14ac:dyDescent="0.3">
      <c r="A98" s="1">
        <v>96</v>
      </c>
      <c r="B98" t="s">
        <v>254</v>
      </c>
      <c r="C98">
        <v>378500</v>
      </c>
      <c r="D98">
        <v>302800</v>
      </c>
      <c r="E98" s="2">
        <v>45859</v>
      </c>
      <c r="F98" s="2">
        <v>45859</v>
      </c>
      <c r="G98" t="s">
        <v>114</v>
      </c>
      <c r="H98" t="s">
        <v>220</v>
      </c>
      <c r="I98" t="s">
        <v>27</v>
      </c>
      <c r="J98" s="3">
        <v>45880.957638888889</v>
      </c>
      <c r="K98">
        <f t="shared" ref="K98:K129" si="12">MONTH(J98)</f>
        <v>8</v>
      </c>
      <c r="L98">
        <v>2025</v>
      </c>
      <c r="M98">
        <v>2025</v>
      </c>
      <c r="N98">
        <v>2025</v>
      </c>
      <c r="O98">
        <v>2025</v>
      </c>
      <c r="P98" t="s">
        <v>28</v>
      </c>
      <c r="Q98" t="s">
        <v>29</v>
      </c>
      <c r="R98" s="2">
        <v>43910</v>
      </c>
      <c r="S98">
        <v>5</v>
      </c>
      <c r="T98" t="s">
        <v>30</v>
      </c>
      <c r="U98" t="s">
        <v>41</v>
      </c>
      <c r="V98" t="s">
        <v>32</v>
      </c>
      <c r="W98" t="s">
        <v>83</v>
      </c>
      <c r="X98" t="s">
        <v>33</v>
      </c>
      <c r="Y98" t="s">
        <v>34</v>
      </c>
      <c r="Z98" t="str">
        <f t="shared" ref="Z98:Z129" si="13">IF(S98&lt;=6,"0-6",
IF(S98&lt;=17,"7-17",
IF(S98&lt;=35,"18-35",
IF(S98&lt;=55,"36-55",
"56+"))))</f>
        <v>0-6</v>
      </c>
      <c r="AA98" t="s">
        <v>586</v>
      </c>
      <c r="AB98">
        <v>79</v>
      </c>
      <c r="AC98" t="str" cm="1">
        <f t="array" ref="AC98">_xlfn.SWITCH(AB98,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8" t="str">
        <f t="shared" si="9"/>
        <v>80%</v>
      </c>
      <c r="AE98" t="s">
        <v>667</v>
      </c>
      <c r="AF98" s="8">
        <f t="shared" si="10"/>
        <v>45859</v>
      </c>
      <c r="AG98" s="8">
        <f>_xlfn.XLOOKUP(AE98, Dev!$A:$A, Dev!$B:$B, "")</f>
        <v>45684.657766203702</v>
      </c>
      <c r="AH98" s="11">
        <f t="shared" si="11"/>
        <v>174.34223379629839</v>
      </c>
    </row>
    <row r="99" spans="1:34" x14ac:dyDescent="0.3">
      <c r="A99" s="1">
        <v>97</v>
      </c>
      <c r="B99" t="s">
        <v>255</v>
      </c>
      <c r="C99">
        <v>173500</v>
      </c>
      <c r="D99">
        <v>138800</v>
      </c>
      <c r="E99" s="2">
        <v>45859</v>
      </c>
      <c r="F99" s="2">
        <v>45859</v>
      </c>
      <c r="G99" t="s">
        <v>114</v>
      </c>
      <c r="H99" t="s">
        <v>256</v>
      </c>
      <c r="I99" t="s">
        <v>27</v>
      </c>
      <c r="J99" s="3">
        <v>45880.951388888891</v>
      </c>
      <c r="K99">
        <f t="shared" si="12"/>
        <v>8</v>
      </c>
      <c r="L99">
        <v>2025</v>
      </c>
      <c r="M99">
        <v>2025</v>
      </c>
      <c r="N99">
        <v>2025</v>
      </c>
      <c r="O99">
        <v>2025</v>
      </c>
      <c r="P99" t="s">
        <v>28</v>
      </c>
      <c r="Q99" t="s">
        <v>29</v>
      </c>
      <c r="R99" s="2">
        <v>45263</v>
      </c>
      <c r="S99">
        <v>1</v>
      </c>
      <c r="T99" t="s">
        <v>30</v>
      </c>
      <c r="U99" t="s">
        <v>31</v>
      </c>
      <c r="V99" t="s">
        <v>32</v>
      </c>
      <c r="W99" t="s">
        <v>256</v>
      </c>
      <c r="X99" t="s">
        <v>180</v>
      </c>
      <c r="Y99" t="s">
        <v>34</v>
      </c>
      <c r="Z99" t="str">
        <f t="shared" si="13"/>
        <v>0-6</v>
      </c>
      <c r="AA99" t="s">
        <v>583</v>
      </c>
      <c r="AB99">
        <v>79</v>
      </c>
      <c r="AC99" t="str" cm="1">
        <f t="array" ref="AC99">_xlfn.SWITCH(AB99,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9" t="str">
        <f t="shared" si="9"/>
        <v>80%</v>
      </c>
      <c r="AE99" t="s">
        <v>664</v>
      </c>
      <c r="AF99" s="8">
        <f t="shared" si="10"/>
        <v>45859</v>
      </c>
      <c r="AG99" s="8">
        <f>_xlfn.XLOOKUP(AE99, Dev!$A:$A, Dev!$B:$B, "")</f>
        <v>45684.666458333333</v>
      </c>
      <c r="AH99" s="11">
        <f t="shared" si="11"/>
        <v>174.33354166666686</v>
      </c>
    </row>
    <row r="100" spans="1:34" x14ac:dyDescent="0.3">
      <c r="A100" s="1">
        <v>98</v>
      </c>
      <c r="B100" t="s">
        <v>257</v>
      </c>
      <c r="C100">
        <v>543500</v>
      </c>
      <c r="D100">
        <v>434800</v>
      </c>
      <c r="E100" s="2">
        <v>45853</v>
      </c>
      <c r="F100" s="2">
        <v>45853</v>
      </c>
      <c r="G100" t="s">
        <v>114</v>
      </c>
      <c r="H100" t="s">
        <v>256</v>
      </c>
      <c r="I100" t="s">
        <v>27</v>
      </c>
      <c r="J100" s="3">
        <v>45880.947222222225</v>
      </c>
      <c r="K100">
        <f t="shared" si="12"/>
        <v>8</v>
      </c>
      <c r="L100">
        <v>2025</v>
      </c>
      <c r="M100">
        <v>2025</v>
      </c>
      <c r="N100">
        <v>2025</v>
      </c>
      <c r="O100">
        <v>2025</v>
      </c>
      <c r="P100" t="s">
        <v>28</v>
      </c>
      <c r="Q100" t="s">
        <v>29</v>
      </c>
      <c r="R100" s="2">
        <v>45263</v>
      </c>
      <c r="S100">
        <v>1</v>
      </c>
      <c r="T100" t="s">
        <v>30</v>
      </c>
      <c r="U100" t="s">
        <v>31</v>
      </c>
      <c r="V100" t="s">
        <v>32</v>
      </c>
      <c r="W100" t="s">
        <v>256</v>
      </c>
      <c r="X100" t="s">
        <v>180</v>
      </c>
      <c r="Y100" t="s">
        <v>34</v>
      </c>
      <c r="Z100" t="str">
        <f t="shared" si="13"/>
        <v>0-6</v>
      </c>
      <c r="AA100" t="s">
        <v>583</v>
      </c>
      <c r="AB100">
        <v>79</v>
      </c>
      <c r="AC100" t="str" cm="1">
        <f t="array" ref="AC100">_xlfn.SWITCH(AB100,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00" t="str">
        <f t="shared" si="9"/>
        <v>80%</v>
      </c>
      <c r="AE100" t="s">
        <v>664</v>
      </c>
      <c r="AF100" s="8">
        <f t="shared" si="10"/>
        <v>45853</v>
      </c>
      <c r="AG100" s="8">
        <f>_xlfn.XLOOKUP(AE100, Dev!$A:$A, Dev!$B:$B, "")</f>
        <v>45684.666458333333</v>
      </c>
      <c r="AH100" s="11">
        <f t="shared" si="11"/>
        <v>168.33354166666686</v>
      </c>
    </row>
    <row r="101" spans="1:34" x14ac:dyDescent="0.3">
      <c r="A101" s="1">
        <v>99</v>
      </c>
      <c r="B101" t="s">
        <v>258</v>
      </c>
      <c r="C101">
        <v>9613183</v>
      </c>
      <c r="D101">
        <v>3328466</v>
      </c>
      <c r="E101" s="2">
        <v>45866</v>
      </c>
      <c r="F101" s="2">
        <v>45877</v>
      </c>
      <c r="G101" t="s">
        <v>259</v>
      </c>
      <c r="H101" t="s">
        <v>260</v>
      </c>
      <c r="I101" t="s">
        <v>27</v>
      </c>
      <c r="J101" s="3">
        <v>45880.529166666667</v>
      </c>
      <c r="K101">
        <f t="shared" si="12"/>
        <v>8</v>
      </c>
      <c r="L101">
        <v>2025</v>
      </c>
      <c r="M101">
        <v>2025</v>
      </c>
      <c r="N101">
        <v>2025</v>
      </c>
      <c r="O101">
        <v>2025</v>
      </c>
      <c r="P101" t="s">
        <v>28</v>
      </c>
      <c r="Q101" t="s">
        <v>29</v>
      </c>
      <c r="R101" s="2">
        <v>45394</v>
      </c>
      <c r="S101">
        <v>1</v>
      </c>
      <c r="T101" t="s">
        <v>30</v>
      </c>
      <c r="U101" t="s">
        <v>41</v>
      </c>
      <c r="V101" t="s">
        <v>71</v>
      </c>
      <c r="W101" t="s">
        <v>260</v>
      </c>
      <c r="X101" t="s">
        <v>33</v>
      </c>
      <c r="Y101" t="s">
        <v>34</v>
      </c>
      <c r="Z101" t="str">
        <f t="shared" si="13"/>
        <v>0-6</v>
      </c>
      <c r="AA101" t="s">
        <v>587</v>
      </c>
      <c r="AB101">
        <v>1</v>
      </c>
      <c r="AC101" t="str" cm="1">
        <f t="array" ref="AC101">_xlfn.SWITCH(AB101,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01" t="str">
        <f t="shared" si="9"/>
        <v>34.62%</v>
      </c>
      <c r="AE101" t="s">
        <v>668</v>
      </c>
      <c r="AF101" s="8">
        <f t="shared" si="10"/>
        <v>45866</v>
      </c>
      <c r="AG101" s="8">
        <f>_xlfn.XLOOKUP(AE101, Dev!$A:$A, Dev!$B:$B, "")</f>
        <v>45762.554652777777</v>
      </c>
      <c r="AH101" s="11">
        <f t="shared" si="11"/>
        <v>103.44534722222306</v>
      </c>
    </row>
    <row r="102" spans="1:34" x14ac:dyDescent="0.3">
      <c r="A102" s="1">
        <v>100</v>
      </c>
      <c r="B102" t="s">
        <v>261</v>
      </c>
      <c r="C102">
        <v>596332</v>
      </c>
      <c r="D102">
        <v>477065</v>
      </c>
      <c r="E102" s="2">
        <v>45867</v>
      </c>
      <c r="F102" s="2">
        <v>45867</v>
      </c>
      <c r="G102" t="s">
        <v>25</v>
      </c>
      <c r="H102" t="s">
        <v>262</v>
      </c>
      <c r="I102" t="s">
        <v>27</v>
      </c>
      <c r="J102" s="3">
        <v>45879.988888888889</v>
      </c>
      <c r="K102">
        <f t="shared" si="12"/>
        <v>8</v>
      </c>
      <c r="L102">
        <v>2025</v>
      </c>
      <c r="M102">
        <v>2025</v>
      </c>
      <c r="N102">
        <v>2025</v>
      </c>
      <c r="O102">
        <v>2025</v>
      </c>
      <c r="P102" t="s">
        <v>28</v>
      </c>
      <c r="Q102" t="s">
        <v>29</v>
      </c>
      <c r="R102" s="2">
        <v>44634</v>
      </c>
      <c r="S102">
        <v>3</v>
      </c>
      <c r="T102" t="s">
        <v>30</v>
      </c>
      <c r="U102" t="s">
        <v>31</v>
      </c>
      <c r="V102" t="s">
        <v>32</v>
      </c>
      <c r="W102" t="s">
        <v>487</v>
      </c>
      <c r="X102" t="s">
        <v>33</v>
      </c>
      <c r="Y102" t="s">
        <v>34</v>
      </c>
      <c r="Z102" t="str">
        <f t="shared" si="13"/>
        <v>0-6</v>
      </c>
      <c r="AA102" t="s">
        <v>556</v>
      </c>
      <c r="AB102">
        <v>79</v>
      </c>
      <c r="AC102" t="str" cm="1">
        <f t="array" ref="AC102">_xlfn.SWITCH(AB102,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02" t="str">
        <f t="shared" si="9"/>
        <v>80%</v>
      </c>
      <c r="AE102" t="s">
        <v>637</v>
      </c>
      <c r="AF102" s="8">
        <f t="shared" si="10"/>
        <v>45867</v>
      </c>
      <c r="AG102" s="8">
        <f>_xlfn.XLOOKUP(AE102, Dev!$A:$A, Dev!$B:$B, "")</f>
        <v>45749.551354166666</v>
      </c>
      <c r="AH102" s="11">
        <f t="shared" si="11"/>
        <v>117.44864583333401</v>
      </c>
    </row>
    <row r="103" spans="1:34" x14ac:dyDescent="0.3">
      <c r="A103" s="1">
        <v>101</v>
      </c>
      <c r="B103" t="s">
        <v>263</v>
      </c>
      <c r="C103">
        <v>440643</v>
      </c>
      <c r="D103">
        <v>257475</v>
      </c>
      <c r="E103" s="2">
        <v>45855</v>
      </c>
      <c r="F103" s="2">
        <v>45855</v>
      </c>
      <c r="G103" t="s">
        <v>25</v>
      </c>
      <c r="H103" t="s">
        <v>264</v>
      </c>
      <c r="I103" t="s">
        <v>27</v>
      </c>
      <c r="J103" s="3">
        <v>45879.977083333331</v>
      </c>
      <c r="K103">
        <f t="shared" si="12"/>
        <v>8</v>
      </c>
      <c r="L103">
        <v>2025</v>
      </c>
      <c r="M103">
        <v>2025</v>
      </c>
      <c r="N103">
        <v>2025</v>
      </c>
      <c r="O103">
        <v>2025</v>
      </c>
      <c r="P103" t="s">
        <v>28</v>
      </c>
      <c r="Q103" t="s">
        <v>29</v>
      </c>
      <c r="R103" s="2">
        <v>44634</v>
      </c>
      <c r="S103">
        <v>3</v>
      </c>
      <c r="T103" t="s">
        <v>30</v>
      </c>
      <c r="U103" t="s">
        <v>31</v>
      </c>
      <c r="V103" t="s">
        <v>32</v>
      </c>
      <c r="W103" t="s">
        <v>264</v>
      </c>
      <c r="X103" t="s">
        <v>33</v>
      </c>
      <c r="Y103" t="s">
        <v>34</v>
      </c>
      <c r="Z103" t="str">
        <f t="shared" si="13"/>
        <v>0-6</v>
      </c>
      <c r="AA103" t="s">
        <v>556</v>
      </c>
      <c r="AB103">
        <v>79</v>
      </c>
      <c r="AC103" t="str" cm="1">
        <f t="array" ref="AC103">_xlfn.SWITCH(AB103,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03" t="str">
        <f t="shared" si="9"/>
        <v>58.43%</v>
      </c>
      <c r="AE103" t="s">
        <v>637</v>
      </c>
      <c r="AF103" s="8">
        <f t="shared" si="10"/>
        <v>45855</v>
      </c>
      <c r="AG103" s="8">
        <f>_xlfn.XLOOKUP(AE103, Dev!$A:$A, Dev!$B:$B, "")</f>
        <v>45749.551354166666</v>
      </c>
      <c r="AH103" s="11">
        <f t="shared" si="11"/>
        <v>105.44864583333401</v>
      </c>
    </row>
    <row r="104" spans="1:34" x14ac:dyDescent="0.3">
      <c r="A104" s="1">
        <v>102</v>
      </c>
      <c r="B104" t="s">
        <v>265</v>
      </c>
      <c r="C104">
        <v>487000</v>
      </c>
      <c r="D104">
        <v>399000</v>
      </c>
      <c r="E104" s="2">
        <v>45859</v>
      </c>
      <c r="F104" s="2">
        <v>45859</v>
      </c>
      <c r="G104" t="s">
        <v>259</v>
      </c>
      <c r="H104" t="s">
        <v>266</v>
      </c>
      <c r="I104" t="s">
        <v>27</v>
      </c>
      <c r="J104" s="3">
        <v>45877.027083333334</v>
      </c>
      <c r="K104">
        <f t="shared" si="12"/>
        <v>8</v>
      </c>
      <c r="L104">
        <v>2025</v>
      </c>
      <c r="M104">
        <v>2025</v>
      </c>
      <c r="N104">
        <v>2025</v>
      </c>
      <c r="O104">
        <v>2025</v>
      </c>
      <c r="P104" t="s">
        <v>28</v>
      </c>
      <c r="Q104" t="s">
        <v>29</v>
      </c>
      <c r="R104" s="2">
        <v>45590</v>
      </c>
      <c r="S104">
        <v>0</v>
      </c>
      <c r="T104" t="s">
        <v>30</v>
      </c>
      <c r="U104" t="s">
        <v>41</v>
      </c>
      <c r="V104" t="s">
        <v>32</v>
      </c>
      <c r="W104" t="s">
        <v>266</v>
      </c>
      <c r="X104" t="s">
        <v>42</v>
      </c>
      <c r="Y104" t="s">
        <v>34</v>
      </c>
      <c r="Z104" t="str">
        <f t="shared" si="13"/>
        <v>0-6</v>
      </c>
      <c r="AA104" t="s">
        <v>588</v>
      </c>
      <c r="AB104">
        <v>1</v>
      </c>
      <c r="AC104" t="str" cm="1">
        <f t="array" ref="AC104">_xlfn.SWITCH(AB104,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04" t="str">
        <f t="shared" si="9"/>
        <v>81.93%</v>
      </c>
      <c r="AE104" t="s">
        <v>669</v>
      </c>
      <c r="AF104" s="8">
        <f t="shared" si="10"/>
        <v>45859</v>
      </c>
      <c r="AG104" s="8">
        <f>_xlfn.XLOOKUP(AE104, Dev!$A:$A, Dev!$B:$B, "")</f>
        <v>45727.475266203706</v>
      </c>
      <c r="AH104" s="11">
        <f t="shared" si="11"/>
        <v>131.52473379629373</v>
      </c>
    </row>
    <row r="105" spans="1:34" x14ac:dyDescent="0.3">
      <c r="A105" s="1">
        <v>103</v>
      </c>
      <c r="B105" t="s">
        <v>267</v>
      </c>
      <c r="C105">
        <v>468000</v>
      </c>
      <c r="D105">
        <v>370400</v>
      </c>
      <c r="E105" s="2">
        <v>45868</v>
      </c>
      <c r="F105" s="2">
        <v>45868</v>
      </c>
      <c r="G105" t="s">
        <v>42</v>
      </c>
      <c r="H105" t="s">
        <v>220</v>
      </c>
      <c r="I105" t="s">
        <v>27</v>
      </c>
      <c r="J105" s="3">
        <v>45875.900694444441</v>
      </c>
      <c r="K105">
        <f t="shared" si="12"/>
        <v>8</v>
      </c>
      <c r="L105">
        <v>2025</v>
      </c>
      <c r="M105">
        <v>2025</v>
      </c>
      <c r="N105">
        <v>2025</v>
      </c>
      <c r="O105">
        <v>2025</v>
      </c>
      <c r="P105" t="s">
        <v>28</v>
      </c>
      <c r="Q105" t="s">
        <v>29</v>
      </c>
      <c r="R105" s="2">
        <v>45681</v>
      </c>
      <c r="S105">
        <v>0</v>
      </c>
      <c r="T105" t="s">
        <v>30</v>
      </c>
      <c r="U105" t="s">
        <v>31</v>
      </c>
      <c r="V105" t="s">
        <v>32</v>
      </c>
      <c r="W105" t="s">
        <v>83</v>
      </c>
      <c r="X105" t="s">
        <v>33</v>
      </c>
      <c r="Y105" t="s">
        <v>34</v>
      </c>
      <c r="Z105" t="str">
        <f t="shared" si="13"/>
        <v>0-6</v>
      </c>
      <c r="AA105" t="s">
        <v>589</v>
      </c>
      <c r="AB105">
        <v>1</v>
      </c>
      <c r="AC105" t="str" cm="1">
        <f t="array" ref="AC105">_xlfn.SWITCH(AB105,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05" t="str">
        <f t="shared" si="9"/>
        <v>79.15%</v>
      </c>
      <c r="AE105" t="s">
        <v>670</v>
      </c>
      <c r="AF105" s="8">
        <f t="shared" si="10"/>
        <v>45868</v>
      </c>
      <c r="AG105" s="8">
        <f>_xlfn.XLOOKUP(AE105, Dev!$A:$A, Dev!$B:$B, "")</f>
        <v>45769.741736111115</v>
      </c>
      <c r="AH105" s="11">
        <f t="shared" si="11"/>
        <v>98.258263888885267</v>
      </c>
    </row>
    <row r="106" spans="1:34" x14ac:dyDescent="0.3">
      <c r="A106" s="1">
        <v>104</v>
      </c>
      <c r="B106" t="s">
        <v>268</v>
      </c>
      <c r="C106">
        <v>2296500</v>
      </c>
      <c r="D106">
        <v>1280000</v>
      </c>
      <c r="E106" s="2">
        <v>45871</v>
      </c>
      <c r="F106" s="2">
        <v>45871</v>
      </c>
      <c r="G106" t="s">
        <v>111</v>
      </c>
      <c r="H106" t="s">
        <v>83</v>
      </c>
      <c r="I106" t="s">
        <v>27</v>
      </c>
      <c r="J106" s="3">
        <v>45875.469444444447</v>
      </c>
      <c r="K106">
        <f t="shared" si="12"/>
        <v>8</v>
      </c>
      <c r="L106">
        <v>2025</v>
      </c>
      <c r="M106">
        <v>2025</v>
      </c>
      <c r="N106">
        <v>2025</v>
      </c>
      <c r="O106">
        <v>2025</v>
      </c>
      <c r="P106" t="s">
        <v>28</v>
      </c>
      <c r="Q106" t="s">
        <v>29</v>
      </c>
      <c r="R106" s="2">
        <v>45551</v>
      </c>
      <c r="S106">
        <v>1</v>
      </c>
      <c r="T106" t="s">
        <v>30</v>
      </c>
      <c r="U106" t="s">
        <v>41</v>
      </c>
      <c r="V106" t="s">
        <v>32</v>
      </c>
      <c r="W106" t="s">
        <v>83</v>
      </c>
      <c r="X106" t="s">
        <v>33</v>
      </c>
      <c r="Y106" t="s">
        <v>34</v>
      </c>
      <c r="Z106" t="str">
        <f t="shared" si="13"/>
        <v>0-6</v>
      </c>
      <c r="AA106" t="s">
        <v>590</v>
      </c>
      <c r="AB106">
        <v>1</v>
      </c>
      <c r="AC106" t="str" cm="1">
        <f t="array" ref="AC106">_xlfn.SWITCH(AB106,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06" t="str">
        <f t="shared" si="9"/>
        <v>55.74%</v>
      </c>
      <c r="AE106" t="s">
        <v>671</v>
      </c>
      <c r="AF106" s="8">
        <f t="shared" si="10"/>
        <v>45871</v>
      </c>
      <c r="AG106" s="8">
        <f>_xlfn.XLOOKUP(AE106, Dev!$A:$A, Dev!$B:$B, "")</f>
        <v>45751.516053240739</v>
      </c>
      <c r="AH106" s="11">
        <f t="shared" si="11"/>
        <v>119.48394675926102</v>
      </c>
    </row>
    <row r="107" spans="1:34" x14ac:dyDescent="0.3">
      <c r="A107" s="1">
        <v>105</v>
      </c>
      <c r="B107" t="s">
        <v>269</v>
      </c>
      <c r="C107">
        <v>9551292</v>
      </c>
      <c r="D107">
        <v>2540097</v>
      </c>
      <c r="E107" s="2">
        <v>45857</v>
      </c>
      <c r="F107" s="2">
        <v>45861</v>
      </c>
      <c r="G107" t="s">
        <v>67</v>
      </c>
      <c r="H107" t="s">
        <v>270</v>
      </c>
      <c r="I107" t="s">
        <v>27</v>
      </c>
      <c r="J107" s="3">
        <v>45874.813194444447</v>
      </c>
      <c r="K107">
        <f t="shared" si="12"/>
        <v>8</v>
      </c>
      <c r="L107">
        <v>2025</v>
      </c>
      <c r="M107">
        <v>2025</v>
      </c>
      <c r="N107">
        <v>2025</v>
      </c>
      <c r="O107">
        <v>2025</v>
      </c>
      <c r="P107" t="s">
        <v>28</v>
      </c>
      <c r="Q107" t="s">
        <v>29</v>
      </c>
      <c r="R107" s="2">
        <v>43124</v>
      </c>
      <c r="S107">
        <v>7</v>
      </c>
      <c r="T107" t="s">
        <v>30</v>
      </c>
      <c r="U107" t="s">
        <v>41</v>
      </c>
      <c r="V107" t="s">
        <v>271</v>
      </c>
      <c r="W107" t="s">
        <v>488</v>
      </c>
      <c r="X107" t="s">
        <v>42</v>
      </c>
      <c r="Y107" t="s">
        <v>34</v>
      </c>
      <c r="Z107" t="str">
        <f t="shared" si="13"/>
        <v>7-17</v>
      </c>
      <c r="AA107" t="s">
        <v>591</v>
      </c>
      <c r="AB107">
        <v>51</v>
      </c>
      <c r="AC107" t="str" cm="1">
        <f t="array" ref="AC107">_xlfn.SWITCH(AB107,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Quảng Ngãi</v>
      </c>
      <c r="AD107" t="str">
        <f t="shared" si="9"/>
        <v>26.59%</v>
      </c>
      <c r="AE107" t="s">
        <v>672</v>
      </c>
      <c r="AF107" s="8">
        <f t="shared" si="10"/>
        <v>45857</v>
      </c>
      <c r="AG107" s="8">
        <f>_xlfn.XLOOKUP(AE107, Dev!$A:$A, Dev!$B:$B, "")</f>
        <v>45636.93854166667</v>
      </c>
      <c r="AH107" s="11">
        <f t="shared" si="11"/>
        <v>220.06145833332994</v>
      </c>
    </row>
    <row r="108" spans="1:34" x14ac:dyDescent="0.3">
      <c r="A108" s="1">
        <v>106</v>
      </c>
      <c r="B108" t="s">
        <v>272</v>
      </c>
      <c r="C108">
        <v>280780</v>
      </c>
      <c r="D108">
        <v>151264</v>
      </c>
      <c r="E108" s="2">
        <v>45874</v>
      </c>
      <c r="G108" t="s">
        <v>273</v>
      </c>
      <c r="H108" t="s">
        <v>274</v>
      </c>
      <c r="I108" t="s">
        <v>27</v>
      </c>
      <c r="J108" s="3">
        <v>45874.786111111112</v>
      </c>
      <c r="K108">
        <f t="shared" si="12"/>
        <v>8</v>
      </c>
      <c r="L108">
        <v>2025</v>
      </c>
      <c r="M108">
        <v>2025</v>
      </c>
      <c r="N108">
        <v>2025</v>
      </c>
      <c r="O108">
        <v>2025</v>
      </c>
      <c r="P108" t="s">
        <v>28</v>
      </c>
      <c r="Q108" t="s">
        <v>29</v>
      </c>
      <c r="R108" s="2">
        <v>45463</v>
      </c>
      <c r="S108">
        <v>1</v>
      </c>
      <c r="T108" t="s">
        <v>30</v>
      </c>
      <c r="U108" t="s">
        <v>31</v>
      </c>
      <c r="V108" t="s">
        <v>32</v>
      </c>
      <c r="W108" t="s">
        <v>489</v>
      </c>
      <c r="X108" t="s">
        <v>42</v>
      </c>
      <c r="Y108" t="s">
        <v>34</v>
      </c>
      <c r="Z108" t="str">
        <f t="shared" si="13"/>
        <v>0-6</v>
      </c>
      <c r="AA108" t="s">
        <v>592</v>
      </c>
      <c r="AB108">
        <v>31</v>
      </c>
      <c r="AC108" t="str" cm="1">
        <f t="array" ref="AC108">_xlfn.SWITCH(AB108,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108" t="str">
        <f t="shared" si="9"/>
        <v>53.87%</v>
      </c>
      <c r="AE108" t="s">
        <v>673</v>
      </c>
      <c r="AF108" s="8">
        <f t="shared" si="10"/>
        <v>45874</v>
      </c>
      <c r="AG108" s="8">
        <f>_xlfn.XLOOKUP(AE108, Dev!$A:$A, Dev!$B:$B, "")</f>
        <v>45789.722129629627</v>
      </c>
      <c r="AH108" s="11">
        <f t="shared" si="11"/>
        <v>84.277870370373421</v>
      </c>
    </row>
    <row r="109" spans="1:34" x14ac:dyDescent="0.3">
      <c r="A109" s="1">
        <v>107</v>
      </c>
      <c r="B109" t="s">
        <v>275</v>
      </c>
      <c r="C109">
        <v>226893</v>
      </c>
      <c r="D109">
        <v>181514</v>
      </c>
      <c r="E109" s="2">
        <v>45868</v>
      </c>
      <c r="F109" s="2">
        <v>45868</v>
      </c>
      <c r="G109" t="s">
        <v>276</v>
      </c>
      <c r="H109" t="s">
        <v>100</v>
      </c>
      <c r="I109" t="s">
        <v>27</v>
      </c>
      <c r="J109" s="3">
        <v>45873.672222222223</v>
      </c>
      <c r="K109">
        <f t="shared" si="12"/>
        <v>8</v>
      </c>
      <c r="L109">
        <v>2025</v>
      </c>
      <c r="M109">
        <v>2025</v>
      </c>
      <c r="N109">
        <v>2025</v>
      </c>
      <c r="O109">
        <v>2025</v>
      </c>
      <c r="P109" t="s">
        <v>28</v>
      </c>
      <c r="Q109" t="s">
        <v>29</v>
      </c>
      <c r="R109" s="2">
        <v>44269</v>
      </c>
      <c r="S109">
        <v>4</v>
      </c>
      <c r="T109" t="s">
        <v>30</v>
      </c>
      <c r="U109" t="s">
        <v>41</v>
      </c>
      <c r="V109" t="s">
        <v>32</v>
      </c>
      <c r="W109" t="s">
        <v>100</v>
      </c>
      <c r="X109" t="s">
        <v>33</v>
      </c>
      <c r="Y109" t="s">
        <v>34</v>
      </c>
      <c r="Z109" t="str">
        <f t="shared" si="13"/>
        <v>0-6</v>
      </c>
      <c r="AA109" t="s">
        <v>541</v>
      </c>
      <c r="AB109">
        <v>79</v>
      </c>
      <c r="AC109" t="str" cm="1">
        <f t="array" ref="AC109">_xlfn.SWITCH(AB109,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09" t="str">
        <f t="shared" si="9"/>
        <v>80%</v>
      </c>
      <c r="AE109" t="s">
        <v>622</v>
      </c>
      <c r="AF109" s="8">
        <f t="shared" si="10"/>
        <v>45868</v>
      </c>
      <c r="AG109" s="8">
        <f>_xlfn.XLOOKUP(AE109, Dev!$A:$A, Dev!$B:$B, "")</f>
        <v>45689</v>
      </c>
      <c r="AH109" s="11">
        <f t="shared" si="11"/>
        <v>179</v>
      </c>
    </row>
    <row r="110" spans="1:34" x14ac:dyDescent="0.3">
      <c r="A110" s="1">
        <v>108</v>
      </c>
      <c r="B110" t="s">
        <v>277</v>
      </c>
      <c r="C110">
        <v>222790</v>
      </c>
      <c r="D110">
        <v>178232</v>
      </c>
      <c r="E110" s="2">
        <v>45863</v>
      </c>
      <c r="F110" s="2">
        <v>45863</v>
      </c>
      <c r="G110" t="s">
        <v>278</v>
      </c>
      <c r="H110" t="s">
        <v>100</v>
      </c>
      <c r="I110" t="s">
        <v>27</v>
      </c>
      <c r="J110" s="3">
        <v>45873.668749999997</v>
      </c>
      <c r="K110">
        <f t="shared" si="12"/>
        <v>8</v>
      </c>
      <c r="L110">
        <v>2025</v>
      </c>
      <c r="M110">
        <v>2025</v>
      </c>
      <c r="N110">
        <v>2025</v>
      </c>
      <c r="O110">
        <v>2025</v>
      </c>
      <c r="P110" t="s">
        <v>28</v>
      </c>
      <c r="Q110" t="s">
        <v>29</v>
      </c>
      <c r="R110" s="2">
        <v>44269</v>
      </c>
      <c r="S110">
        <v>4</v>
      </c>
      <c r="T110" t="s">
        <v>30</v>
      </c>
      <c r="U110" t="s">
        <v>41</v>
      </c>
      <c r="V110" t="s">
        <v>32</v>
      </c>
      <c r="W110" t="s">
        <v>100</v>
      </c>
      <c r="X110" t="s">
        <v>33</v>
      </c>
      <c r="Y110" t="s">
        <v>34</v>
      </c>
      <c r="Z110" t="str">
        <f t="shared" si="13"/>
        <v>0-6</v>
      </c>
      <c r="AA110" t="s">
        <v>541</v>
      </c>
      <c r="AB110">
        <v>79</v>
      </c>
      <c r="AC110" t="str" cm="1">
        <f t="array" ref="AC110">_xlfn.SWITCH(AB110,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10" t="str">
        <f t="shared" si="9"/>
        <v>80%</v>
      </c>
      <c r="AE110" t="s">
        <v>622</v>
      </c>
      <c r="AF110" s="8">
        <f t="shared" si="10"/>
        <v>45863</v>
      </c>
      <c r="AG110" s="8">
        <f>_xlfn.XLOOKUP(AE110, Dev!$A:$A, Dev!$B:$B, "")</f>
        <v>45689</v>
      </c>
      <c r="AH110" s="11">
        <f t="shared" si="11"/>
        <v>174</v>
      </c>
    </row>
    <row r="111" spans="1:34" x14ac:dyDescent="0.3">
      <c r="A111" s="1">
        <v>109</v>
      </c>
      <c r="B111" t="s">
        <v>279</v>
      </c>
      <c r="C111">
        <v>14210</v>
      </c>
      <c r="D111">
        <v>11442433</v>
      </c>
      <c r="E111" s="2">
        <v>45866</v>
      </c>
      <c r="F111" s="2">
        <v>45870</v>
      </c>
      <c r="G111" t="s">
        <v>39</v>
      </c>
      <c r="H111" t="s">
        <v>280</v>
      </c>
      <c r="I111" t="s">
        <v>27</v>
      </c>
      <c r="J111" s="3">
        <v>45873.640972222223</v>
      </c>
      <c r="K111">
        <f t="shared" si="12"/>
        <v>8</v>
      </c>
      <c r="L111">
        <v>2025</v>
      </c>
      <c r="M111">
        <v>2025</v>
      </c>
      <c r="N111">
        <v>2025</v>
      </c>
      <c r="O111">
        <v>2025</v>
      </c>
      <c r="P111" t="s">
        <v>28</v>
      </c>
      <c r="Q111" t="s">
        <v>29</v>
      </c>
      <c r="R111" s="2">
        <v>45701</v>
      </c>
      <c r="S111">
        <v>0</v>
      </c>
      <c r="T111" t="s">
        <v>30</v>
      </c>
      <c r="U111" t="s">
        <v>31</v>
      </c>
      <c r="V111" t="s">
        <v>71</v>
      </c>
      <c r="W111" t="s">
        <v>490</v>
      </c>
      <c r="X111" t="s">
        <v>33</v>
      </c>
      <c r="Y111" t="s">
        <v>34</v>
      </c>
      <c r="Z111" t="str">
        <f t="shared" si="13"/>
        <v>0-6</v>
      </c>
      <c r="AA111" t="s">
        <v>593</v>
      </c>
      <c r="AB111">
        <v>1</v>
      </c>
      <c r="AC111" t="str" cm="1">
        <f t="array" ref="AC111">_xlfn.SWITCH(AB111,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1" t="str">
        <f t="shared" si="9"/>
        <v>80523.81%</v>
      </c>
      <c r="AE111" t="s">
        <v>674</v>
      </c>
      <c r="AF111" s="8">
        <f t="shared" si="10"/>
        <v>45866</v>
      </c>
      <c r="AG111" s="8">
        <f>_xlfn.XLOOKUP(AE111, Dev!$A:$A, Dev!$B:$B, "")</f>
        <v>45777.437893518516</v>
      </c>
      <c r="AH111" s="11">
        <f t="shared" si="11"/>
        <v>88.562106481484079</v>
      </c>
    </row>
    <row r="112" spans="1:34" x14ac:dyDescent="0.3">
      <c r="A112" s="1">
        <v>110</v>
      </c>
      <c r="B112" t="s">
        <v>281</v>
      </c>
      <c r="C112">
        <v>4624000</v>
      </c>
      <c r="D112">
        <v>4093232</v>
      </c>
      <c r="E112" s="2">
        <v>45854</v>
      </c>
      <c r="F112" s="2">
        <v>45856</v>
      </c>
      <c r="G112" t="s">
        <v>39</v>
      </c>
      <c r="H112" t="s">
        <v>282</v>
      </c>
      <c r="I112" t="s">
        <v>27</v>
      </c>
      <c r="J112" s="3">
        <v>45873.626388888886</v>
      </c>
      <c r="K112">
        <f t="shared" si="12"/>
        <v>8</v>
      </c>
      <c r="L112">
        <v>2025</v>
      </c>
      <c r="M112">
        <v>2025</v>
      </c>
      <c r="N112">
        <v>2025</v>
      </c>
      <c r="O112">
        <v>2025</v>
      </c>
      <c r="P112" t="s">
        <v>28</v>
      </c>
      <c r="Q112" t="s">
        <v>29</v>
      </c>
      <c r="R112" s="2">
        <v>45701</v>
      </c>
      <c r="S112">
        <v>0</v>
      </c>
      <c r="T112" t="s">
        <v>30</v>
      </c>
      <c r="U112" t="s">
        <v>31</v>
      </c>
      <c r="V112" t="s">
        <v>71</v>
      </c>
      <c r="W112" t="s">
        <v>491</v>
      </c>
      <c r="X112" t="s">
        <v>33</v>
      </c>
      <c r="Y112" t="s">
        <v>34</v>
      </c>
      <c r="Z112" t="str">
        <f t="shared" si="13"/>
        <v>0-6</v>
      </c>
      <c r="AA112" t="s">
        <v>593</v>
      </c>
      <c r="AB112">
        <v>1</v>
      </c>
      <c r="AC112" t="str" cm="1">
        <f t="array" ref="AC112">_xlfn.SWITCH(AB112,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2" t="str">
        <f t="shared" si="9"/>
        <v>88.52%</v>
      </c>
      <c r="AE112" t="s">
        <v>674</v>
      </c>
      <c r="AF112" s="8">
        <f t="shared" si="10"/>
        <v>45854</v>
      </c>
      <c r="AG112" s="8">
        <f>_xlfn.XLOOKUP(AE112, Dev!$A:$A, Dev!$B:$B, "")</f>
        <v>45777.437893518516</v>
      </c>
      <c r="AH112" s="11">
        <f t="shared" si="11"/>
        <v>76.562106481484079</v>
      </c>
    </row>
    <row r="113" spans="1:34" x14ac:dyDescent="0.3">
      <c r="A113" s="1">
        <v>111</v>
      </c>
      <c r="B113" t="s">
        <v>283</v>
      </c>
      <c r="C113">
        <v>778000</v>
      </c>
      <c r="D113">
        <v>461000</v>
      </c>
      <c r="E113" s="2">
        <v>45861</v>
      </c>
      <c r="F113" s="2">
        <v>45861</v>
      </c>
      <c r="G113" t="s">
        <v>39</v>
      </c>
      <c r="H113" t="s">
        <v>284</v>
      </c>
      <c r="I113" t="s">
        <v>27</v>
      </c>
      <c r="J113" s="3">
        <v>45873.621527777781</v>
      </c>
      <c r="K113">
        <f t="shared" si="12"/>
        <v>8</v>
      </c>
      <c r="L113">
        <v>2025</v>
      </c>
      <c r="M113">
        <v>2025</v>
      </c>
      <c r="N113">
        <v>2025</v>
      </c>
      <c r="O113">
        <v>2025</v>
      </c>
      <c r="P113" t="s">
        <v>28</v>
      </c>
      <c r="Q113" t="s">
        <v>29</v>
      </c>
      <c r="R113" s="2">
        <v>45701</v>
      </c>
      <c r="S113">
        <v>0</v>
      </c>
      <c r="T113" t="s">
        <v>30</v>
      </c>
      <c r="U113" t="s">
        <v>31</v>
      </c>
      <c r="V113" t="s">
        <v>32</v>
      </c>
      <c r="W113" t="s">
        <v>492</v>
      </c>
      <c r="X113" t="s">
        <v>33</v>
      </c>
      <c r="Y113" t="s">
        <v>34</v>
      </c>
      <c r="Z113" t="str">
        <f t="shared" si="13"/>
        <v>0-6</v>
      </c>
      <c r="AA113" t="s">
        <v>593</v>
      </c>
      <c r="AB113">
        <v>1</v>
      </c>
      <c r="AC113" t="str" cm="1">
        <f t="array" ref="AC113">_xlfn.SWITCH(AB113,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3" t="str">
        <f t="shared" si="9"/>
        <v>59.25%</v>
      </c>
      <c r="AE113" t="s">
        <v>674</v>
      </c>
      <c r="AF113" s="8">
        <f t="shared" si="10"/>
        <v>45861</v>
      </c>
      <c r="AG113" s="8">
        <f>_xlfn.XLOOKUP(AE113, Dev!$A:$A, Dev!$B:$B, "")</f>
        <v>45777.437893518516</v>
      </c>
      <c r="AH113" s="11">
        <f t="shared" si="11"/>
        <v>83.562106481484079</v>
      </c>
    </row>
    <row r="114" spans="1:34" x14ac:dyDescent="0.3">
      <c r="A114" s="1">
        <v>112</v>
      </c>
      <c r="B114" t="s">
        <v>285</v>
      </c>
      <c r="C114">
        <v>750000</v>
      </c>
      <c r="D114">
        <v>600000</v>
      </c>
      <c r="E114" s="2">
        <v>45872</v>
      </c>
      <c r="G114" t="s">
        <v>286</v>
      </c>
      <c r="H114" t="s">
        <v>287</v>
      </c>
      <c r="I114" t="s">
        <v>27</v>
      </c>
      <c r="J114" s="3">
        <v>45872.829861111109</v>
      </c>
      <c r="K114">
        <f t="shared" si="12"/>
        <v>8</v>
      </c>
      <c r="L114">
        <v>2025</v>
      </c>
      <c r="M114">
        <v>2025</v>
      </c>
      <c r="N114">
        <v>2025</v>
      </c>
      <c r="O114">
        <v>2025</v>
      </c>
      <c r="P114" t="s">
        <v>28</v>
      </c>
      <c r="Q114" t="s">
        <v>29</v>
      </c>
      <c r="R114" s="2">
        <v>45281</v>
      </c>
      <c r="S114">
        <v>1</v>
      </c>
      <c r="T114" t="s">
        <v>30</v>
      </c>
      <c r="U114" t="s">
        <v>31</v>
      </c>
      <c r="V114" t="s">
        <v>32</v>
      </c>
      <c r="W114" t="s">
        <v>493</v>
      </c>
      <c r="X114" t="s">
        <v>42</v>
      </c>
      <c r="Y114" t="s">
        <v>34</v>
      </c>
      <c r="Z114" t="str">
        <f t="shared" si="13"/>
        <v>0-6</v>
      </c>
      <c r="AA114" t="s">
        <v>594</v>
      </c>
      <c r="AB114">
        <v>1</v>
      </c>
      <c r="AC114" t="str" cm="1">
        <f t="array" ref="AC114">_xlfn.SWITCH(AB114,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4" t="str">
        <f t="shared" si="9"/>
        <v>80%</v>
      </c>
      <c r="AE114" t="s">
        <v>675</v>
      </c>
      <c r="AF114" s="8">
        <f t="shared" si="10"/>
        <v>45872</v>
      </c>
      <c r="AG114" s="8">
        <f>_xlfn.XLOOKUP(AE114, Dev!$A:$A, Dev!$B:$B, "")</f>
        <v>45722.751307870371</v>
      </c>
      <c r="AH114" s="11">
        <f t="shared" si="11"/>
        <v>149.24869212962949</v>
      </c>
    </row>
    <row r="115" spans="1:34" x14ac:dyDescent="0.3">
      <c r="A115" s="1">
        <v>113</v>
      </c>
      <c r="B115" t="s">
        <v>288</v>
      </c>
      <c r="C115">
        <v>1126500</v>
      </c>
      <c r="D115">
        <v>693200</v>
      </c>
      <c r="E115" s="2">
        <v>45861</v>
      </c>
      <c r="F115" s="2">
        <v>45861</v>
      </c>
      <c r="G115" t="s">
        <v>286</v>
      </c>
      <c r="H115" t="s">
        <v>289</v>
      </c>
      <c r="I115" t="s">
        <v>27</v>
      </c>
      <c r="J115" s="3">
        <v>45872.820138888892</v>
      </c>
      <c r="K115">
        <f t="shared" si="12"/>
        <v>8</v>
      </c>
      <c r="L115">
        <v>2025</v>
      </c>
      <c r="M115">
        <v>2025</v>
      </c>
      <c r="N115">
        <v>2025</v>
      </c>
      <c r="O115">
        <v>2025</v>
      </c>
      <c r="P115" t="s">
        <v>28</v>
      </c>
      <c r="Q115" t="s">
        <v>29</v>
      </c>
      <c r="R115" s="2">
        <v>45281</v>
      </c>
      <c r="S115">
        <v>1</v>
      </c>
      <c r="T115" t="s">
        <v>30</v>
      </c>
      <c r="U115" t="s">
        <v>31</v>
      </c>
      <c r="V115" t="s">
        <v>32</v>
      </c>
      <c r="W115" t="s">
        <v>494</v>
      </c>
      <c r="X115" t="s">
        <v>42</v>
      </c>
      <c r="Y115" t="s">
        <v>34</v>
      </c>
      <c r="Z115" t="str">
        <f t="shared" si="13"/>
        <v>0-6</v>
      </c>
      <c r="AA115" t="s">
        <v>594</v>
      </c>
      <c r="AB115">
        <v>1</v>
      </c>
      <c r="AC115" t="str" cm="1">
        <f t="array" ref="AC115">_xlfn.SWITCH(AB115,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5" t="str">
        <f t="shared" si="9"/>
        <v>61.54%</v>
      </c>
      <c r="AE115" t="s">
        <v>675</v>
      </c>
      <c r="AF115" s="8">
        <f t="shared" si="10"/>
        <v>45861</v>
      </c>
      <c r="AG115" s="8">
        <f>_xlfn.XLOOKUP(AE115, Dev!$A:$A, Dev!$B:$B, "")</f>
        <v>45722.751307870371</v>
      </c>
      <c r="AH115" s="11">
        <f t="shared" si="11"/>
        <v>138.24869212962949</v>
      </c>
    </row>
    <row r="116" spans="1:34" x14ac:dyDescent="0.3">
      <c r="A116" s="1">
        <v>114</v>
      </c>
      <c r="B116" t="s">
        <v>290</v>
      </c>
      <c r="C116">
        <v>1945000</v>
      </c>
      <c r="D116">
        <v>640000</v>
      </c>
      <c r="E116" s="2">
        <v>45870</v>
      </c>
      <c r="F116" s="2">
        <v>45870</v>
      </c>
      <c r="G116" t="s">
        <v>93</v>
      </c>
      <c r="H116" t="s">
        <v>291</v>
      </c>
      <c r="I116" t="s">
        <v>27</v>
      </c>
      <c r="J116" s="3">
        <v>45871.934027777781</v>
      </c>
      <c r="K116">
        <f t="shared" si="12"/>
        <v>8</v>
      </c>
      <c r="L116">
        <v>2025</v>
      </c>
      <c r="M116">
        <v>2025</v>
      </c>
      <c r="N116">
        <v>2025</v>
      </c>
      <c r="O116">
        <v>2025</v>
      </c>
      <c r="P116" t="s">
        <v>28</v>
      </c>
      <c r="Q116" t="s">
        <v>29</v>
      </c>
      <c r="R116" s="2">
        <v>45454</v>
      </c>
      <c r="S116">
        <v>1</v>
      </c>
      <c r="T116" t="s">
        <v>30</v>
      </c>
      <c r="U116" t="s">
        <v>41</v>
      </c>
      <c r="V116" t="s">
        <v>32</v>
      </c>
      <c r="W116" t="s">
        <v>495</v>
      </c>
      <c r="X116" t="s">
        <v>42</v>
      </c>
      <c r="Y116" t="s">
        <v>34</v>
      </c>
      <c r="Z116" t="str">
        <f t="shared" si="13"/>
        <v>0-6</v>
      </c>
      <c r="AA116" t="s">
        <v>553</v>
      </c>
      <c r="AB116">
        <v>1</v>
      </c>
      <c r="AC116" t="str" cm="1">
        <f t="array" ref="AC116">_xlfn.SWITCH(AB116,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6" t="str">
        <f t="shared" si="9"/>
        <v>32.9%</v>
      </c>
      <c r="AE116" t="s">
        <v>634</v>
      </c>
      <c r="AF116" s="8">
        <f t="shared" si="10"/>
        <v>45870</v>
      </c>
      <c r="AG116" s="8">
        <f>_xlfn.XLOOKUP(AE116, Dev!$A:$A, Dev!$B:$B, "")</f>
        <v>45745.370266203703</v>
      </c>
      <c r="AH116" s="11">
        <f t="shared" si="11"/>
        <v>124.62973379629693</v>
      </c>
    </row>
    <row r="117" spans="1:34" x14ac:dyDescent="0.3">
      <c r="A117" s="1">
        <v>115</v>
      </c>
      <c r="B117" t="s">
        <v>292</v>
      </c>
      <c r="C117">
        <v>1197957</v>
      </c>
      <c r="D117">
        <v>958365</v>
      </c>
      <c r="E117" s="2">
        <v>45870</v>
      </c>
      <c r="F117" s="2">
        <v>45870</v>
      </c>
      <c r="G117" t="s">
        <v>42</v>
      </c>
      <c r="H117" t="s">
        <v>293</v>
      </c>
      <c r="I117" t="s">
        <v>27</v>
      </c>
      <c r="J117" s="3">
        <v>45871.624305555553</v>
      </c>
      <c r="K117">
        <f t="shared" si="12"/>
        <v>8</v>
      </c>
      <c r="L117">
        <v>2025</v>
      </c>
      <c r="M117">
        <v>2025</v>
      </c>
      <c r="N117">
        <v>2025</v>
      </c>
      <c r="O117">
        <v>2025</v>
      </c>
      <c r="P117" t="s">
        <v>28</v>
      </c>
      <c r="Q117" t="s">
        <v>29</v>
      </c>
      <c r="R117" s="2">
        <v>45145</v>
      </c>
      <c r="S117">
        <v>2</v>
      </c>
      <c r="T117" t="s">
        <v>30</v>
      </c>
      <c r="U117" t="s">
        <v>41</v>
      </c>
      <c r="V117" t="s">
        <v>32</v>
      </c>
      <c r="W117" t="s">
        <v>496</v>
      </c>
      <c r="X117" t="s">
        <v>42</v>
      </c>
      <c r="Y117" t="s">
        <v>34</v>
      </c>
      <c r="Z117" t="str">
        <f t="shared" si="13"/>
        <v>0-6</v>
      </c>
      <c r="AA117" t="s">
        <v>549</v>
      </c>
      <c r="AB117">
        <v>27</v>
      </c>
      <c r="AC117" t="str" cm="1">
        <f t="array" ref="AC117">_xlfn.SWITCH(AB117,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117" t="str">
        <f t="shared" si="9"/>
        <v>80%</v>
      </c>
      <c r="AE117" t="s">
        <v>630</v>
      </c>
      <c r="AF117" s="8">
        <f t="shared" si="10"/>
        <v>45870</v>
      </c>
      <c r="AG117" s="8">
        <f>_xlfn.XLOOKUP(AE117, Dev!$A:$A, Dev!$B:$B, "")</f>
        <v>45784.413310185184</v>
      </c>
      <c r="AH117" s="11">
        <f t="shared" si="11"/>
        <v>85.586689814816054</v>
      </c>
    </row>
    <row r="118" spans="1:34" x14ac:dyDescent="0.3">
      <c r="A118" s="1">
        <v>116</v>
      </c>
      <c r="B118" t="s">
        <v>294</v>
      </c>
      <c r="C118">
        <v>1268222</v>
      </c>
      <c r="D118">
        <v>810577</v>
      </c>
      <c r="E118" s="2">
        <v>45869</v>
      </c>
      <c r="F118" s="2">
        <v>45869</v>
      </c>
      <c r="G118" t="s">
        <v>54</v>
      </c>
      <c r="H118" t="s">
        <v>295</v>
      </c>
      <c r="I118" t="s">
        <v>27</v>
      </c>
      <c r="J118" s="3">
        <v>45870.322916666664</v>
      </c>
      <c r="K118">
        <f t="shared" si="12"/>
        <v>8</v>
      </c>
      <c r="L118">
        <v>2025</v>
      </c>
      <c r="M118">
        <v>2025</v>
      </c>
      <c r="N118">
        <v>2025</v>
      </c>
      <c r="O118">
        <v>2025</v>
      </c>
      <c r="P118" t="s">
        <v>28</v>
      </c>
      <c r="Q118" t="s">
        <v>29</v>
      </c>
      <c r="R118" s="2">
        <v>45619</v>
      </c>
      <c r="S118">
        <v>0</v>
      </c>
      <c r="T118" t="s">
        <v>30</v>
      </c>
      <c r="U118" t="s">
        <v>31</v>
      </c>
      <c r="V118" t="s">
        <v>32</v>
      </c>
      <c r="W118" t="s">
        <v>295</v>
      </c>
      <c r="X118" t="s">
        <v>33</v>
      </c>
      <c r="Y118" t="s">
        <v>34</v>
      </c>
      <c r="Z118" t="str">
        <f t="shared" si="13"/>
        <v>0-6</v>
      </c>
      <c r="AA118" t="s">
        <v>558</v>
      </c>
      <c r="AB118">
        <v>1</v>
      </c>
      <c r="AC118" t="str" cm="1">
        <f t="array" ref="AC118">_xlfn.SWITCH(AB118,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8" t="str">
        <f t="shared" si="9"/>
        <v>63.91%</v>
      </c>
      <c r="AE118" t="s">
        <v>639</v>
      </c>
      <c r="AF118" s="8">
        <f t="shared" si="10"/>
        <v>45869</v>
      </c>
      <c r="AG118" s="8">
        <f>_xlfn.XLOOKUP(AE118, Dev!$A:$A, Dev!$B:$B, "")</f>
        <v>45680.692175925928</v>
      </c>
      <c r="AH118" s="11">
        <f t="shared" si="11"/>
        <v>188.30782407407241</v>
      </c>
    </row>
    <row r="119" spans="1:34" x14ac:dyDescent="0.3">
      <c r="A119" s="1">
        <v>117</v>
      </c>
      <c r="B119" t="s">
        <v>296</v>
      </c>
      <c r="C119">
        <v>576470</v>
      </c>
      <c r="D119">
        <v>443570</v>
      </c>
      <c r="E119" s="2">
        <v>45866</v>
      </c>
      <c r="F119" s="2">
        <v>45866</v>
      </c>
      <c r="G119" t="s">
        <v>67</v>
      </c>
      <c r="H119" t="s">
        <v>297</v>
      </c>
      <c r="I119" t="s">
        <v>27</v>
      </c>
      <c r="J119" s="3">
        <v>45868.550694444442</v>
      </c>
      <c r="K119">
        <f t="shared" si="12"/>
        <v>7</v>
      </c>
      <c r="L119">
        <v>2025</v>
      </c>
      <c r="M119">
        <v>2025</v>
      </c>
      <c r="N119">
        <v>2025</v>
      </c>
      <c r="O119">
        <v>2025</v>
      </c>
      <c r="P119" t="s">
        <v>28</v>
      </c>
      <c r="Q119" t="s">
        <v>29</v>
      </c>
      <c r="R119" s="2">
        <v>45609</v>
      </c>
      <c r="S119">
        <v>0</v>
      </c>
      <c r="T119" t="s">
        <v>30</v>
      </c>
      <c r="U119" t="s">
        <v>41</v>
      </c>
      <c r="V119" t="s">
        <v>32</v>
      </c>
      <c r="W119" t="s">
        <v>497</v>
      </c>
      <c r="X119" t="s">
        <v>180</v>
      </c>
      <c r="Y119" t="s">
        <v>34</v>
      </c>
      <c r="Z119" t="str">
        <f t="shared" si="13"/>
        <v>0-6</v>
      </c>
      <c r="AA119" t="s">
        <v>567</v>
      </c>
      <c r="AB119">
        <v>75</v>
      </c>
      <c r="AC119" t="str" cm="1">
        <f t="array" ref="AC119">_xlfn.SWITCH(AB119,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19" t="str">
        <f t="shared" si="9"/>
        <v>76.95%</v>
      </c>
      <c r="AE119" t="s">
        <v>648</v>
      </c>
      <c r="AF119" s="8">
        <f t="shared" si="10"/>
        <v>45866</v>
      </c>
      <c r="AG119" s="8">
        <f>_xlfn.XLOOKUP(AE119, Dev!$A:$A, Dev!$B:$B, "")</f>
        <v>45729.416770833333</v>
      </c>
      <c r="AH119" s="11">
        <f t="shared" si="11"/>
        <v>136.58322916666657</v>
      </c>
    </row>
    <row r="120" spans="1:34" x14ac:dyDescent="0.3">
      <c r="A120" s="1">
        <v>118</v>
      </c>
      <c r="B120" t="s">
        <v>298</v>
      </c>
      <c r="C120">
        <v>797775</v>
      </c>
      <c r="D120">
        <v>326137</v>
      </c>
      <c r="E120" s="2">
        <v>45862</v>
      </c>
      <c r="F120" s="2">
        <v>45862</v>
      </c>
      <c r="G120" t="s">
        <v>67</v>
      </c>
      <c r="H120" t="s">
        <v>299</v>
      </c>
      <c r="I120" t="s">
        <v>27</v>
      </c>
      <c r="J120" s="3">
        <v>45868.54583333333</v>
      </c>
      <c r="K120">
        <f t="shared" si="12"/>
        <v>7</v>
      </c>
      <c r="L120">
        <v>2025</v>
      </c>
      <c r="M120">
        <v>2025</v>
      </c>
      <c r="N120">
        <v>2025</v>
      </c>
      <c r="O120">
        <v>2025</v>
      </c>
      <c r="P120" t="s">
        <v>28</v>
      </c>
      <c r="Q120" t="s">
        <v>29</v>
      </c>
      <c r="R120" s="2">
        <v>45609</v>
      </c>
      <c r="S120">
        <v>0</v>
      </c>
      <c r="T120" t="s">
        <v>30</v>
      </c>
      <c r="U120" t="s">
        <v>41</v>
      </c>
      <c r="V120" t="s">
        <v>32</v>
      </c>
      <c r="W120" t="s">
        <v>498</v>
      </c>
      <c r="X120" t="s">
        <v>33</v>
      </c>
      <c r="Y120" t="s">
        <v>34</v>
      </c>
      <c r="Z120" t="str">
        <f t="shared" si="13"/>
        <v>0-6</v>
      </c>
      <c r="AA120" t="s">
        <v>567</v>
      </c>
      <c r="AB120">
        <v>75</v>
      </c>
      <c r="AC120" t="str" cm="1">
        <f t="array" ref="AC120">_xlfn.SWITCH(AB120,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20" t="str">
        <f t="shared" si="9"/>
        <v>40.88%</v>
      </c>
      <c r="AE120" t="s">
        <v>648</v>
      </c>
      <c r="AF120" s="8">
        <f t="shared" si="10"/>
        <v>45862</v>
      </c>
      <c r="AG120" s="8">
        <f>_xlfn.XLOOKUP(AE120, Dev!$A:$A, Dev!$B:$B, "")</f>
        <v>45729.416770833333</v>
      </c>
      <c r="AH120" s="11">
        <f t="shared" si="11"/>
        <v>132.58322916666657</v>
      </c>
    </row>
    <row r="121" spans="1:34" x14ac:dyDescent="0.3">
      <c r="A121" s="1">
        <v>119</v>
      </c>
      <c r="B121" t="s">
        <v>300</v>
      </c>
      <c r="C121">
        <v>212500</v>
      </c>
      <c r="D121">
        <v>160150</v>
      </c>
      <c r="E121" s="2">
        <v>45862</v>
      </c>
      <c r="F121" s="2">
        <v>45862</v>
      </c>
      <c r="G121" t="s">
        <v>301</v>
      </c>
      <c r="H121" t="s">
        <v>195</v>
      </c>
      <c r="I121" t="s">
        <v>27</v>
      </c>
      <c r="J121" s="3">
        <v>45868.501388888886</v>
      </c>
      <c r="K121">
        <f t="shared" si="12"/>
        <v>7</v>
      </c>
      <c r="L121">
        <v>2025</v>
      </c>
      <c r="M121">
        <v>2025</v>
      </c>
      <c r="N121">
        <v>2025</v>
      </c>
      <c r="O121">
        <v>2025</v>
      </c>
      <c r="P121" t="s">
        <v>28</v>
      </c>
      <c r="Q121" t="s">
        <v>29</v>
      </c>
      <c r="R121" s="2">
        <v>45090</v>
      </c>
      <c r="S121">
        <v>2</v>
      </c>
      <c r="T121" t="s">
        <v>30</v>
      </c>
      <c r="U121" t="s">
        <v>31</v>
      </c>
      <c r="V121" t="s">
        <v>32</v>
      </c>
      <c r="W121" t="s">
        <v>74</v>
      </c>
      <c r="X121" t="s">
        <v>33</v>
      </c>
      <c r="Y121" t="s">
        <v>34</v>
      </c>
      <c r="Z121" t="str">
        <f t="shared" si="13"/>
        <v>0-6</v>
      </c>
      <c r="AA121" t="s">
        <v>570</v>
      </c>
      <c r="AB121">
        <v>79</v>
      </c>
      <c r="AC121" t="str" cm="1">
        <f t="array" ref="AC121">_xlfn.SWITCH(AB121,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1" t="str">
        <f t="shared" si="9"/>
        <v>75.36%</v>
      </c>
      <c r="AE121" t="s">
        <v>651</v>
      </c>
      <c r="AF121" s="8">
        <f t="shared" si="10"/>
        <v>45862</v>
      </c>
      <c r="AG121" s="8">
        <f>_xlfn.XLOOKUP(AE121, Dev!$A:$A, Dev!$B:$B, "")</f>
        <v>45576.580300925925</v>
      </c>
      <c r="AH121" s="11">
        <f t="shared" si="11"/>
        <v>285.41969907407474</v>
      </c>
    </row>
    <row r="122" spans="1:34" x14ac:dyDescent="0.3">
      <c r="A122" s="1">
        <v>120</v>
      </c>
      <c r="B122" t="s">
        <v>302</v>
      </c>
      <c r="C122">
        <v>167500</v>
      </c>
      <c r="D122">
        <v>123200</v>
      </c>
      <c r="E122" s="2">
        <v>45859</v>
      </c>
      <c r="F122" s="2">
        <v>45859</v>
      </c>
      <c r="G122" t="s">
        <v>301</v>
      </c>
      <c r="H122" t="s">
        <v>195</v>
      </c>
      <c r="I122" t="s">
        <v>27</v>
      </c>
      <c r="J122" s="3">
        <v>45868.499305555553</v>
      </c>
      <c r="K122">
        <f t="shared" si="12"/>
        <v>7</v>
      </c>
      <c r="L122">
        <v>2025</v>
      </c>
      <c r="M122">
        <v>2025</v>
      </c>
      <c r="N122">
        <v>2025</v>
      </c>
      <c r="O122">
        <v>2025</v>
      </c>
      <c r="P122" t="s">
        <v>28</v>
      </c>
      <c r="Q122" t="s">
        <v>29</v>
      </c>
      <c r="R122" s="2">
        <v>45090</v>
      </c>
      <c r="S122">
        <v>2</v>
      </c>
      <c r="T122" t="s">
        <v>30</v>
      </c>
      <c r="U122" t="s">
        <v>31</v>
      </c>
      <c r="V122" t="s">
        <v>32</v>
      </c>
      <c r="W122" t="s">
        <v>74</v>
      </c>
      <c r="X122" t="s">
        <v>33</v>
      </c>
      <c r="Y122" t="s">
        <v>34</v>
      </c>
      <c r="Z122" t="str">
        <f t="shared" si="13"/>
        <v>0-6</v>
      </c>
      <c r="AA122" t="s">
        <v>570</v>
      </c>
      <c r="AB122">
        <v>79</v>
      </c>
      <c r="AC122" t="str" cm="1">
        <f t="array" ref="AC122">_xlfn.SWITCH(AB122,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2" t="str">
        <f t="shared" si="9"/>
        <v>73.55%</v>
      </c>
      <c r="AE122" t="s">
        <v>651</v>
      </c>
      <c r="AF122" s="8">
        <f t="shared" si="10"/>
        <v>45859</v>
      </c>
      <c r="AG122" s="8">
        <f>_xlfn.XLOOKUP(AE122, Dev!$A:$A, Dev!$B:$B, "")</f>
        <v>45576.580300925925</v>
      </c>
      <c r="AH122" s="11">
        <f t="shared" si="11"/>
        <v>282.41969907407474</v>
      </c>
    </row>
    <row r="123" spans="1:34" x14ac:dyDescent="0.3">
      <c r="A123" s="1">
        <v>121</v>
      </c>
      <c r="B123" t="s">
        <v>303</v>
      </c>
      <c r="C123">
        <v>131000</v>
      </c>
      <c r="D123">
        <v>88800</v>
      </c>
      <c r="E123" s="2">
        <v>45858</v>
      </c>
      <c r="F123" s="2">
        <v>45858</v>
      </c>
      <c r="G123" t="s">
        <v>301</v>
      </c>
      <c r="H123" t="s">
        <v>195</v>
      </c>
      <c r="I123" t="s">
        <v>27</v>
      </c>
      <c r="J123" s="3">
        <v>45868.497916666667</v>
      </c>
      <c r="K123">
        <f t="shared" si="12"/>
        <v>7</v>
      </c>
      <c r="L123">
        <v>2025</v>
      </c>
      <c r="M123">
        <v>2025</v>
      </c>
      <c r="N123">
        <v>2025</v>
      </c>
      <c r="O123">
        <v>2025</v>
      </c>
      <c r="P123" t="s">
        <v>28</v>
      </c>
      <c r="Q123" t="s">
        <v>29</v>
      </c>
      <c r="R123" s="2">
        <v>45090</v>
      </c>
      <c r="S123">
        <v>2</v>
      </c>
      <c r="T123" t="s">
        <v>30</v>
      </c>
      <c r="U123" t="s">
        <v>31</v>
      </c>
      <c r="V123" t="s">
        <v>32</v>
      </c>
      <c r="W123" t="s">
        <v>74</v>
      </c>
      <c r="X123" t="s">
        <v>33</v>
      </c>
      <c r="Y123" t="s">
        <v>34</v>
      </c>
      <c r="Z123" t="str">
        <f t="shared" si="13"/>
        <v>0-6</v>
      </c>
      <c r="AA123" t="s">
        <v>570</v>
      </c>
      <c r="AB123">
        <v>79</v>
      </c>
      <c r="AC123" t="str" cm="1">
        <f t="array" ref="AC123">_xlfn.SWITCH(AB123,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3" t="str">
        <f t="shared" si="9"/>
        <v>67.79%</v>
      </c>
      <c r="AE123" t="s">
        <v>651</v>
      </c>
      <c r="AF123" s="8">
        <f t="shared" si="10"/>
        <v>45858</v>
      </c>
      <c r="AG123" s="8">
        <f>_xlfn.XLOOKUP(AE123, Dev!$A:$A, Dev!$B:$B, "")</f>
        <v>45576.580300925925</v>
      </c>
      <c r="AH123" s="11">
        <f t="shared" si="11"/>
        <v>281.41969907407474</v>
      </c>
    </row>
    <row r="124" spans="1:34" x14ac:dyDescent="0.3">
      <c r="A124" s="1">
        <v>122</v>
      </c>
      <c r="B124" t="s">
        <v>304</v>
      </c>
      <c r="C124">
        <v>1338000</v>
      </c>
      <c r="D124">
        <v>1070664</v>
      </c>
      <c r="E124" s="2">
        <v>45867</v>
      </c>
      <c r="F124" s="2">
        <v>45867</v>
      </c>
      <c r="G124" t="s">
        <v>25</v>
      </c>
      <c r="H124" t="s">
        <v>305</v>
      </c>
      <c r="I124" t="s">
        <v>27</v>
      </c>
      <c r="J124" s="3">
        <v>45868.4</v>
      </c>
      <c r="K124">
        <f t="shared" si="12"/>
        <v>7</v>
      </c>
      <c r="L124">
        <v>2025</v>
      </c>
      <c r="M124">
        <v>2025</v>
      </c>
      <c r="N124">
        <v>2025</v>
      </c>
      <c r="O124">
        <v>2025</v>
      </c>
      <c r="P124" t="s">
        <v>28</v>
      </c>
      <c r="Q124" t="s">
        <v>29</v>
      </c>
      <c r="R124" s="2">
        <v>45480</v>
      </c>
      <c r="S124">
        <v>1</v>
      </c>
      <c r="T124" t="s">
        <v>30</v>
      </c>
      <c r="U124" t="s">
        <v>41</v>
      </c>
      <c r="V124" t="s">
        <v>32</v>
      </c>
      <c r="W124" t="s">
        <v>49</v>
      </c>
      <c r="X124" t="s">
        <v>33</v>
      </c>
      <c r="Y124" t="s">
        <v>34</v>
      </c>
      <c r="Z124" t="str">
        <f t="shared" si="13"/>
        <v>0-6</v>
      </c>
      <c r="AA124" t="s">
        <v>585</v>
      </c>
      <c r="AB124">
        <v>79</v>
      </c>
      <c r="AC124" t="str" cm="1">
        <f t="array" ref="AC124">_xlfn.SWITCH(AB124,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4" t="str">
        <f t="shared" si="9"/>
        <v>80.02%</v>
      </c>
      <c r="AE124" t="s">
        <v>666</v>
      </c>
      <c r="AF124" s="8">
        <f t="shared" si="10"/>
        <v>45867</v>
      </c>
      <c r="AG124" s="8">
        <f>_xlfn.XLOOKUP(AE124, Dev!$A:$A, Dev!$B:$B, "")</f>
        <v>45708</v>
      </c>
      <c r="AH124" s="11">
        <f t="shared" si="11"/>
        <v>159</v>
      </c>
    </row>
    <row r="125" spans="1:34" x14ac:dyDescent="0.3">
      <c r="A125" s="1">
        <v>123</v>
      </c>
      <c r="B125" t="s">
        <v>306</v>
      </c>
      <c r="C125">
        <v>303275</v>
      </c>
      <c r="D125">
        <v>230620</v>
      </c>
      <c r="E125" s="2">
        <v>45866</v>
      </c>
      <c r="G125" t="s">
        <v>191</v>
      </c>
      <c r="H125" t="s">
        <v>192</v>
      </c>
      <c r="I125" t="s">
        <v>27</v>
      </c>
      <c r="J125" s="3">
        <v>45866.48541666667</v>
      </c>
      <c r="K125">
        <f t="shared" si="12"/>
        <v>7</v>
      </c>
      <c r="L125">
        <v>2025</v>
      </c>
      <c r="M125">
        <v>2025</v>
      </c>
      <c r="N125">
        <v>2025</v>
      </c>
      <c r="O125">
        <v>2025</v>
      </c>
      <c r="P125" t="s">
        <v>28</v>
      </c>
      <c r="Q125" t="s">
        <v>29</v>
      </c>
      <c r="R125" s="2">
        <v>45528</v>
      </c>
      <c r="S125">
        <v>1</v>
      </c>
      <c r="T125" t="s">
        <v>30</v>
      </c>
      <c r="U125" t="s">
        <v>41</v>
      </c>
      <c r="V125" t="s">
        <v>32</v>
      </c>
      <c r="W125" t="s">
        <v>192</v>
      </c>
      <c r="X125" t="s">
        <v>33</v>
      </c>
      <c r="Y125" t="s">
        <v>34</v>
      </c>
      <c r="Z125" t="str">
        <f t="shared" si="13"/>
        <v>0-6</v>
      </c>
      <c r="AA125" t="s">
        <v>576</v>
      </c>
      <c r="AB125">
        <v>74</v>
      </c>
      <c r="AC125" t="str" cm="1">
        <f t="array" ref="AC125">_xlfn.SWITCH(AB125,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125" t="str">
        <f t="shared" si="9"/>
        <v>76.04%</v>
      </c>
      <c r="AE125" t="s">
        <v>657</v>
      </c>
      <c r="AF125" s="8">
        <f t="shared" si="10"/>
        <v>45866</v>
      </c>
      <c r="AG125" s="8">
        <f>_xlfn.XLOOKUP(AE125, Dev!$A:$A, Dev!$B:$B, "")</f>
        <v>45707.436122685183</v>
      </c>
      <c r="AH125" s="11">
        <f t="shared" si="11"/>
        <v>158.56387731481664</v>
      </c>
    </row>
    <row r="126" spans="1:34" x14ac:dyDescent="0.3">
      <c r="A126" s="1">
        <v>124</v>
      </c>
      <c r="B126" t="s">
        <v>307</v>
      </c>
      <c r="C126">
        <v>686787</v>
      </c>
      <c r="D126">
        <v>512709</v>
      </c>
      <c r="E126" s="2">
        <v>45866</v>
      </c>
      <c r="G126" t="s">
        <v>191</v>
      </c>
      <c r="H126" t="s">
        <v>308</v>
      </c>
      <c r="I126" t="s">
        <v>27</v>
      </c>
      <c r="J126" s="3">
        <v>45866.463194444441</v>
      </c>
      <c r="K126">
        <f t="shared" si="12"/>
        <v>7</v>
      </c>
      <c r="L126">
        <v>2025</v>
      </c>
      <c r="M126">
        <v>2025</v>
      </c>
      <c r="N126">
        <v>2025</v>
      </c>
      <c r="O126">
        <v>2025</v>
      </c>
      <c r="P126" t="s">
        <v>28</v>
      </c>
      <c r="Q126" t="s">
        <v>29</v>
      </c>
      <c r="R126" s="2">
        <v>45528</v>
      </c>
      <c r="S126">
        <v>1</v>
      </c>
      <c r="T126" t="s">
        <v>30</v>
      </c>
      <c r="U126" t="s">
        <v>41</v>
      </c>
      <c r="V126" t="s">
        <v>32</v>
      </c>
      <c r="W126" t="s">
        <v>308</v>
      </c>
      <c r="X126" t="s">
        <v>33</v>
      </c>
      <c r="Y126" t="s">
        <v>34</v>
      </c>
      <c r="Z126" t="str">
        <f t="shared" si="13"/>
        <v>0-6</v>
      </c>
      <c r="AA126" t="s">
        <v>576</v>
      </c>
      <c r="AB126">
        <v>74</v>
      </c>
      <c r="AC126" t="str" cm="1">
        <f t="array" ref="AC126">_xlfn.SWITCH(AB126,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126" t="str">
        <f t="shared" si="9"/>
        <v>74.65%</v>
      </c>
      <c r="AE126" t="s">
        <v>657</v>
      </c>
      <c r="AF126" s="8">
        <f t="shared" si="10"/>
        <v>45866</v>
      </c>
      <c r="AG126" s="8">
        <f>_xlfn.XLOOKUP(AE126, Dev!$A:$A, Dev!$B:$B, "")</f>
        <v>45707.436122685183</v>
      </c>
      <c r="AH126" s="11">
        <f t="shared" si="11"/>
        <v>158.56387731481664</v>
      </c>
    </row>
    <row r="127" spans="1:34" x14ac:dyDescent="0.3">
      <c r="A127" s="1">
        <v>125</v>
      </c>
      <c r="B127" t="s">
        <v>309</v>
      </c>
      <c r="C127">
        <v>790000</v>
      </c>
      <c r="D127">
        <v>360000</v>
      </c>
      <c r="E127" s="2">
        <v>45857</v>
      </c>
      <c r="F127" s="2">
        <v>45857</v>
      </c>
      <c r="G127" t="s">
        <v>93</v>
      </c>
      <c r="H127" t="s">
        <v>310</v>
      </c>
      <c r="I127" t="s">
        <v>27</v>
      </c>
      <c r="J127" s="3">
        <v>45866.462500000001</v>
      </c>
      <c r="K127">
        <f t="shared" si="12"/>
        <v>7</v>
      </c>
      <c r="L127">
        <v>2025</v>
      </c>
      <c r="M127">
        <v>2025</v>
      </c>
      <c r="N127">
        <v>2025</v>
      </c>
      <c r="O127">
        <v>2025</v>
      </c>
      <c r="P127" t="s">
        <v>28</v>
      </c>
      <c r="Q127" t="s">
        <v>29</v>
      </c>
      <c r="R127" s="2">
        <v>45081</v>
      </c>
      <c r="S127">
        <v>2</v>
      </c>
      <c r="T127" t="s">
        <v>30</v>
      </c>
      <c r="U127" t="s">
        <v>41</v>
      </c>
      <c r="V127" t="s">
        <v>32</v>
      </c>
      <c r="W127" t="s">
        <v>499</v>
      </c>
      <c r="X127" t="s">
        <v>42</v>
      </c>
      <c r="Y127" t="s">
        <v>34</v>
      </c>
      <c r="Z127" t="str">
        <f t="shared" si="13"/>
        <v>0-6</v>
      </c>
      <c r="AA127" t="s">
        <v>595</v>
      </c>
      <c r="AB127">
        <v>79</v>
      </c>
      <c r="AC127" t="str" cm="1">
        <f t="array" ref="AC127">_xlfn.SWITCH(AB127,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7" t="str">
        <f t="shared" si="9"/>
        <v>45.57%</v>
      </c>
      <c r="AE127" t="s">
        <v>676</v>
      </c>
      <c r="AF127" s="8">
        <f t="shared" si="10"/>
        <v>45857</v>
      </c>
      <c r="AG127" s="8">
        <f>_xlfn.XLOOKUP(AE127, Dev!$A:$A, Dev!$B:$B, "")</f>
        <v>45505.385104166664</v>
      </c>
      <c r="AH127" s="11">
        <f t="shared" si="11"/>
        <v>351.61489583333605</v>
      </c>
    </row>
    <row r="128" spans="1:34" x14ac:dyDescent="0.3">
      <c r="A128" s="1">
        <v>126</v>
      </c>
      <c r="B128" t="s">
        <v>311</v>
      </c>
      <c r="C128">
        <v>421000</v>
      </c>
      <c r="D128">
        <v>336800</v>
      </c>
      <c r="E128" s="2">
        <v>45855</v>
      </c>
      <c r="F128" s="2">
        <v>45855</v>
      </c>
      <c r="G128" t="s">
        <v>93</v>
      </c>
      <c r="H128" t="s">
        <v>312</v>
      </c>
      <c r="I128" t="s">
        <v>27</v>
      </c>
      <c r="J128" s="3">
        <v>45866.459027777775</v>
      </c>
      <c r="K128">
        <f t="shared" si="12"/>
        <v>7</v>
      </c>
      <c r="L128">
        <v>2025</v>
      </c>
      <c r="M128">
        <v>2025</v>
      </c>
      <c r="N128">
        <v>2025</v>
      </c>
      <c r="O128">
        <v>2025</v>
      </c>
      <c r="P128" t="s">
        <v>28</v>
      </c>
      <c r="Q128" t="s">
        <v>29</v>
      </c>
      <c r="R128" s="2">
        <v>45081</v>
      </c>
      <c r="S128">
        <v>2</v>
      </c>
      <c r="T128" t="s">
        <v>30</v>
      </c>
      <c r="U128" t="s">
        <v>41</v>
      </c>
      <c r="V128" t="s">
        <v>32</v>
      </c>
      <c r="W128" t="s">
        <v>500</v>
      </c>
      <c r="X128" t="s">
        <v>180</v>
      </c>
      <c r="Y128" t="s">
        <v>34</v>
      </c>
      <c r="Z128" t="str">
        <f t="shared" si="13"/>
        <v>0-6</v>
      </c>
      <c r="AA128" t="s">
        <v>595</v>
      </c>
      <c r="AB128">
        <v>79</v>
      </c>
      <c r="AC128" t="str" cm="1">
        <f t="array" ref="AC128">_xlfn.SWITCH(AB128,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8" t="str">
        <f t="shared" si="9"/>
        <v>80%</v>
      </c>
      <c r="AE128" t="s">
        <v>676</v>
      </c>
      <c r="AF128" s="8">
        <f t="shared" si="10"/>
        <v>45855</v>
      </c>
      <c r="AG128" s="8">
        <f>_xlfn.XLOOKUP(AE128, Dev!$A:$A, Dev!$B:$B, "")</f>
        <v>45505.385104166664</v>
      </c>
      <c r="AH128" s="11">
        <f t="shared" si="11"/>
        <v>349.61489583333605</v>
      </c>
    </row>
    <row r="129" spans="1:34" x14ac:dyDescent="0.3">
      <c r="A129" s="1">
        <v>127</v>
      </c>
      <c r="B129" t="s">
        <v>313</v>
      </c>
      <c r="C129">
        <v>456894</v>
      </c>
      <c r="D129">
        <v>173515</v>
      </c>
      <c r="E129" s="2">
        <v>45857</v>
      </c>
      <c r="F129" s="2">
        <v>45861</v>
      </c>
      <c r="G129" t="s">
        <v>314</v>
      </c>
      <c r="H129" t="s">
        <v>315</v>
      </c>
      <c r="I129" t="s">
        <v>27</v>
      </c>
      <c r="J129" s="3">
        <v>45866.268055555556</v>
      </c>
      <c r="K129">
        <f t="shared" si="12"/>
        <v>7</v>
      </c>
      <c r="L129">
        <v>2025</v>
      </c>
      <c r="M129">
        <v>2025</v>
      </c>
      <c r="N129">
        <v>2025</v>
      </c>
      <c r="O129">
        <v>2025</v>
      </c>
      <c r="P129" t="s">
        <v>28</v>
      </c>
      <c r="Q129" t="s">
        <v>29</v>
      </c>
      <c r="R129" s="2">
        <v>45569</v>
      </c>
      <c r="S129">
        <v>1</v>
      </c>
      <c r="T129" t="s">
        <v>30</v>
      </c>
      <c r="U129" t="s">
        <v>41</v>
      </c>
      <c r="V129" t="s">
        <v>71</v>
      </c>
      <c r="W129" t="s">
        <v>316</v>
      </c>
      <c r="X129" t="s">
        <v>42</v>
      </c>
      <c r="Y129" t="s">
        <v>34</v>
      </c>
      <c r="Z129" t="str">
        <f t="shared" si="13"/>
        <v>0-6</v>
      </c>
      <c r="AA129" t="s">
        <v>596</v>
      </c>
      <c r="AB129">
        <v>1</v>
      </c>
      <c r="AC129" t="str" cm="1">
        <f t="array" ref="AC129">_xlfn.SWITCH(AB129,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29" t="str">
        <f t="shared" si="9"/>
        <v>37.98%</v>
      </c>
      <c r="AE129" t="s">
        <v>677</v>
      </c>
      <c r="AF129" s="8">
        <f t="shared" si="10"/>
        <v>45857</v>
      </c>
      <c r="AG129" s="8">
        <f>_xlfn.XLOOKUP(AE129, Dev!$A:$A, Dev!$B:$B, "")</f>
        <v>45657.587905092594</v>
      </c>
      <c r="AH129" s="11">
        <f t="shared" si="11"/>
        <v>199.41209490740584</v>
      </c>
    </row>
    <row r="130" spans="1:34" x14ac:dyDescent="0.3">
      <c r="A130" s="1">
        <v>128</v>
      </c>
      <c r="B130" t="s">
        <v>317</v>
      </c>
      <c r="C130">
        <v>540000</v>
      </c>
      <c r="D130">
        <v>480000</v>
      </c>
      <c r="E130" s="2">
        <v>45852</v>
      </c>
      <c r="F130" s="2">
        <v>45860</v>
      </c>
      <c r="G130" t="s">
        <v>318</v>
      </c>
      <c r="H130" t="s">
        <v>169</v>
      </c>
      <c r="I130" t="s">
        <v>27</v>
      </c>
      <c r="J130" s="3">
        <v>45863.732638888891</v>
      </c>
      <c r="K130">
        <f t="shared" ref="K130:K161" si="14">MONTH(J130)</f>
        <v>7</v>
      </c>
      <c r="L130">
        <v>2025</v>
      </c>
      <c r="M130">
        <v>2025</v>
      </c>
      <c r="N130">
        <v>2025</v>
      </c>
      <c r="O130">
        <v>2025</v>
      </c>
      <c r="P130" t="s">
        <v>28</v>
      </c>
      <c r="Q130" t="s">
        <v>29</v>
      </c>
      <c r="R130" s="2">
        <v>45595</v>
      </c>
      <c r="S130">
        <v>0</v>
      </c>
      <c r="T130" t="s">
        <v>30</v>
      </c>
      <c r="U130" t="s">
        <v>31</v>
      </c>
      <c r="V130" t="s">
        <v>56</v>
      </c>
      <c r="W130" t="s">
        <v>169</v>
      </c>
      <c r="X130" t="s">
        <v>33</v>
      </c>
      <c r="Y130" t="s">
        <v>34</v>
      </c>
      <c r="Z130" t="str">
        <f t="shared" ref="Z130:Z161" si="15">IF(S130&lt;=6,"0-6",
IF(S130&lt;=17,"7-17",
IF(S130&lt;=35,"18-35",
IF(S130&lt;=55,"36-55",
"56+"))))</f>
        <v>0-6</v>
      </c>
      <c r="AA130" t="s">
        <v>597</v>
      </c>
      <c r="AB130">
        <v>52</v>
      </c>
      <c r="AC130" t="str" cm="1">
        <f t="array" ref="AC130">_xlfn.SWITCH(AB130,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Định</v>
      </c>
      <c r="AD130" t="str">
        <f t="shared" si="9"/>
        <v>88.89%</v>
      </c>
      <c r="AE130" t="s">
        <v>678</v>
      </c>
      <c r="AF130" s="8">
        <f t="shared" si="10"/>
        <v>45852</v>
      </c>
      <c r="AG130" s="8">
        <f>_xlfn.XLOOKUP(AE130, Dev!$A:$A, Dev!$B:$B, "")</f>
        <v>45793.433275462965</v>
      </c>
      <c r="AH130" s="11">
        <f t="shared" si="11"/>
        <v>58.566724537035043</v>
      </c>
    </row>
    <row r="131" spans="1:34" x14ac:dyDescent="0.3">
      <c r="A131" s="1">
        <v>129</v>
      </c>
      <c r="B131" t="s">
        <v>319</v>
      </c>
      <c r="C131">
        <v>17355098</v>
      </c>
      <c r="D131">
        <v>10462908</v>
      </c>
      <c r="E131" s="2">
        <v>45858</v>
      </c>
      <c r="F131" s="2">
        <v>45862</v>
      </c>
      <c r="G131" t="s">
        <v>93</v>
      </c>
      <c r="H131" t="s">
        <v>320</v>
      </c>
      <c r="I131" t="s">
        <v>27</v>
      </c>
      <c r="J131" s="3">
        <v>45863.397916666669</v>
      </c>
      <c r="K131">
        <f t="shared" si="14"/>
        <v>7</v>
      </c>
      <c r="L131">
        <v>2025</v>
      </c>
      <c r="M131">
        <v>2025</v>
      </c>
      <c r="N131">
        <v>2025</v>
      </c>
      <c r="O131">
        <v>2025</v>
      </c>
      <c r="P131" t="s">
        <v>28</v>
      </c>
      <c r="Q131" t="s">
        <v>29</v>
      </c>
      <c r="R131" s="2">
        <v>45622</v>
      </c>
      <c r="S131">
        <v>0</v>
      </c>
      <c r="T131" t="s">
        <v>30</v>
      </c>
      <c r="U131" t="s">
        <v>41</v>
      </c>
      <c r="V131" t="s">
        <v>71</v>
      </c>
      <c r="W131" t="s">
        <v>501</v>
      </c>
      <c r="X131" t="s">
        <v>33</v>
      </c>
      <c r="Y131" t="s">
        <v>34</v>
      </c>
      <c r="Z131" t="str">
        <f t="shared" si="15"/>
        <v>0-6</v>
      </c>
      <c r="AA131" t="s">
        <v>598</v>
      </c>
      <c r="AB131">
        <v>1</v>
      </c>
      <c r="AC131" t="str" cm="1">
        <f t="array" ref="AC131">_xlfn.SWITCH(AB131,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1" t="str">
        <f t="shared" ref="AD131:AD189" si="16">ROUND((D131/C131)*100, 2) &amp; "%"</f>
        <v>60.29%</v>
      </c>
      <c r="AE131" t="s">
        <v>679</v>
      </c>
      <c r="AF131" s="8">
        <f t="shared" ref="AF131:AF189" si="17">INT(E131)</f>
        <v>45858</v>
      </c>
      <c r="AG131" s="8">
        <f>_xlfn.XLOOKUP(AE131, Dev!$A:$A, Dev!$B:$B, "")</f>
        <v>45754.712905092594</v>
      </c>
      <c r="AH131" s="11">
        <f t="shared" ref="AH131:AH189" si="18">AF131-AG131</f>
        <v>103.28709490740584</v>
      </c>
    </row>
    <row r="132" spans="1:34" x14ac:dyDescent="0.3">
      <c r="A132" s="1">
        <v>130</v>
      </c>
      <c r="B132" t="s">
        <v>321</v>
      </c>
      <c r="C132">
        <v>1843310</v>
      </c>
      <c r="D132">
        <v>960000</v>
      </c>
      <c r="E132" s="2">
        <v>45843</v>
      </c>
      <c r="F132" s="2">
        <v>45843</v>
      </c>
      <c r="G132" t="s">
        <v>314</v>
      </c>
      <c r="H132" t="s">
        <v>322</v>
      </c>
      <c r="I132" t="s">
        <v>27</v>
      </c>
      <c r="J132" s="3">
        <v>45862.925000000003</v>
      </c>
      <c r="K132">
        <f t="shared" si="14"/>
        <v>7</v>
      </c>
      <c r="L132">
        <v>2025</v>
      </c>
      <c r="M132">
        <v>2025</v>
      </c>
      <c r="N132">
        <v>2025</v>
      </c>
      <c r="O132">
        <v>2025</v>
      </c>
      <c r="P132" t="s">
        <v>28</v>
      </c>
      <c r="Q132" t="s">
        <v>29</v>
      </c>
      <c r="R132" s="2">
        <v>44815</v>
      </c>
      <c r="S132">
        <v>3</v>
      </c>
      <c r="T132" t="s">
        <v>30</v>
      </c>
      <c r="U132" t="s">
        <v>41</v>
      </c>
      <c r="V132" t="s">
        <v>32</v>
      </c>
      <c r="W132" t="s">
        <v>502</v>
      </c>
      <c r="X132" t="s">
        <v>180</v>
      </c>
      <c r="Y132" t="s">
        <v>34</v>
      </c>
      <c r="Z132" t="str">
        <f t="shared" si="15"/>
        <v>0-6</v>
      </c>
      <c r="AA132" t="s">
        <v>599</v>
      </c>
      <c r="AB132">
        <v>1</v>
      </c>
      <c r="AC132" t="str" cm="1">
        <f t="array" ref="AC132">_xlfn.SWITCH(AB132,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2" t="str">
        <f t="shared" si="16"/>
        <v>52.08%</v>
      </c>
      <c r="AE132" t="s">
        <v>680</v>
      </c>
      <c r="AF132" s="8">
        <f t="shared" si="17"/>
        <v>45843</v>
      </c>
      <c r="AG132" s="8">
        <f>_xlfn.XLOOKUP(AE132, Dev!$A:$A, Dev!$B:$B, "")</f>
        <v>45769.478807870371</v>
      </c>
      <c r="AH132" s="11">
        <f t="shared" si="18"/>
        <v>73.521192129628616</v>
      </c>
    </row>
    <row r="133" spans="1:34" x14ac:dyDescent="0.3">
      <c r="A133" s="1">
        <v>131</v>
      </c>
      <c r="B133" t="s">
        <v>323</v>
      </c>
      <c r="C133">
        <v>760200</v>
      </c>
      <c r="D133">
        <v>608160</v>
      </c>
      <c r="E133" s="2">
        <v>45857</v>
      </c>
      <c r="F133" s="2">
        <v>45857</v>
      </c>
      <c r="G133" t="s">
        <v>25</v>
      </c>
      <c r="H133" t="s">
        <v>324</v>
      </c>
      <c r="I133" t="s">
        <v>27</v>
      </c>
      <c r="J133" s="3">
        <v>45862.907638888886</v>
      </c>
      <c r="K133">
        <f t="shared" si="14"/>
        <v>7</v>
      </c>
      <c r="L133">
        <v>2025</v>
      </c>
      <c r="M133">
        <v>2025</v>
      </c>
      <c r="N133">
        <v>2025</v>
      </c>
      <c r="O133">
        <v>2025</v>
      </c>
      <c r="P133" t="s">
        <v>28</v>
      </c>
      <c r="Q133" t="s">
        <v>29</v>
      </c>
      <c r="R133" s="2">
        <v>45656</v>
      </c>
      <c r="S133">
        <v>0</v>
      </c>
      <c r="T133" t="s">
        <v>30</v>
      </c>
      <c r="U133" t="s">
        <v>41</v>
      </c>
      <c r="V133" t="s">
        <v>32</v>
      </c>
      <c r="W133" t="s">
        <v>100</v>
      </c>
      <c r="X133" t="s">
        <v>33</v>
      </c>
      <c r="Y133" t="s">
        <v>34</v>
      </c>
      <c r="Z133" t="str">
        <f t="shared" si="15"/>
        <v>0-6</v>
      </c>
      <c r="AA133" t="s">
        <v>577</v>
      </c>
      <c r="AB133">
        <v>82</v>
      </c>
      <c r="AC133" t="str" cm="1">
        <f t="array" ref="AC133">_xlfn.SWITCH(AB133,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133" t="str">
        <f t="shared" si="16"/>
        <v>80%</v>
      </c>
      <c r="AE133" t="s">
        <v>658</v>
      </c>
      <c r="AF133" s="8">
        <f t="shared" si="17"/>
        <v>45857</v>
      </c>
      <c r="AG133" s="8">
        <f>_xlfn.XLOOKUP(AE133, Dev!$A:$A, Dev!$B:$B, "")</f>
        <v>45710.518067129633</v>
      </c>
      <c r="AH133" s="11">
        <f t="shared" si="18"/>
        <v>146.48193287036702</v>
      </c>
    </row>
    <row r="134" spans="1:34" x14ac:dyDescent="0.3">
      <c r="A134" s="1">
        <v>132</v>
      </c>
      <c r="B134" t="s">
        <v>325</v>
      </c>
      <c r="C134">
        <v>1605436</v>
      </c>
      <c r="D134">
        <v>1200000</v>
      </c>
      <c r="E134" s="2">
        <v>45855</v>
      </c>
      <c r="F134" s="2">
        <v>45855</v>
      </c>
      <c r="G134" t="s">
        <v>46</v>
      </c>
      <c r="H134" t="s">
        <v>87</v>
      </c>
      <c r="I134" t="s">
        <v>27</v>
      </c>
      <c r="J134" s="3">
        <v>45862.603472222225</v>
      </c>
      <c r="K134">
        <f t="shared" si="14"/>
        <v>7</v>
      </c>
      <c r="L134">
        <v>2025</v>
      </c>
      <c r="M134">
        <v>2025</v>
      </c>
      <c r="N134">
        <v>2025</v>
      </c>
      <c r="O134">
        <v>2025</v>
      </c>
      <c r="P134" t="s">
        <v>28</v>
      </c>
      <c r="Q134" t="s">
        <v>29</v>
      </c>
      <c r="R134" s="2">
        <v>45187</v>
      </c>
      <c r="S134">
        <v>2</v>
      </c>
      <c r="T134" t="s">
        <v>30</v>
      </c>
      <c r="U134" t="s">
        <v>41</v>
      </c>
      <c r="V134" t="s">
        <v>32</v>
      </c>
      <c r="W134" t="s">
        <v>169</v>
      </c>
      <c r="X134" t="s">
        <v>33</v>
      </c>
      <c r="Y134" t="s">
        <v>34</v>
      </c>
      <c r="Z134" t="str">
        <f t="shared" si="15"/>
        <v>0-6</v>
      </c>
      <c r="AA134" t="s">
        <v>564</v>
      </c>
      <c r="AB134">
        <v>1</v>
      </c>
      <c r="AC134" t="str" cm="1">
        <f t="array" ref="AC134">_xlfn.SWITCH(AB134,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4" t="str">
        <f t="shared" si="16"/>
        <v>74.75%</v>
      </c>
      <c r="AE134" t="s">
        <v>645</v>
      </c>
      <c r="AF134" s="8">
        <f t="shared" si="17"/>
        <v>45855</v>
      </c>
      <c r="AG134" s="8">
        <f>_xlfn.XLOOKUP(AE134, Dev!$A:$A, Dev!$B:$B, "")</f>
        <v>45612</v>
      </c>
      <c r="AH134" s="11">
        <f t="shared" si="18"/>
        <v>243</v>
      </c>
    </row>
    <row r="135" spans="1:34" x14ac:dyDescent="0.3">
      <c r="A135" s="1">
        <v>133</v>
      </c>
      <c r="B135" t="s">
        <v>326</v>
      </c>
      <c r="C135">
        <v>1630156</v>
      </c>
      <c r="D135">
        <v>1200000</v>
      </c>
      <c r="E135" s="2">
        <v>45855</v>
      </c>
      <c r="F135" s="2">
        <v>45855</v>
      </c>
      <c r="G135" t="s">
        <v>46</v>
      </c>
      <c r="H135" t="s">
        <v>123</v>
      </c>
      <c r="I135" t="s">
        <v>27</v>
      </c>
      <c r="J135" s="3">
        <v>45862.602083333331</v>
      </c>
      <c r="K135">
        <f t="shared" si="14"/>
        <v>7</v>
      </c>
      <c r="L135">
        <v>2025</v>
      </c>
      <c r="M135">
        <v>2025</v>
      </c>
      <c r="N135">
        <v>2025</v>
      </c>
      <c r="O135">
        <v>2025</v>
      </c>
      <c r="P135" t="s">
        <v>28</v>
      </c>
      <c r="Q135" t="s">
        <v>29</v>
      </c>
      <c r="R135" s="2">
        <v>45187</v>
      </c>
      <c r="S135">
        <v>2</v>
      </c>
      <c r="T135" t="s">
        <v>30</v>
      </c>
      <c r="U135" t="s">
        <v>31</v>
      </c>
      <c r="V135" t="s">
        <v>32</v>
      </c>
      <c r="W135" t="s">
        <v>459</v>
      </c>
      <c r="X135" t="s">
        <v>33</v>
      </c>
      <c r="Y135" t="s">
        <v>34</v>
      </c>
      <c r="Z135" t="str">
        <f t="shared" si="15"/>
        <v>0-6</v>
      </c>
      <c r="AA135" t="s">
        <v>565</v>
      </c>
      <c r="AB135">
        <v>1</v>
      </c>
      <c r="AC135" t="str" cm="1">
        <f t="array" ref="AC135">_xlfn.SWITCH(AB135,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5" t="str">
        <f t="shared" si="16"/>
        <v>73.61%</v>
      </c>
      <c r="AE135" t="s">
        <v>646</v>
      </c>
      <c r="AF135" s="8">
        <f t="shared" si="17"/>
        <v>45855</v>
      </c>
      <c r="AG135" s="8">
        <f>_xlfn.XLOOKUP(AE135, Dev!$A:$A, Dev!$B:$B, "")</f>
        <v>45612</v>
      </c>
      <c r="AH135" s="11">
        <f t="shared" si="18"/>
        <v>243</v>
      </c>
    </row>
    <row r="136" spans="1:34" x14ac:dyDescent="0.3">
      <c r="A136" s="1">
        <v>134</v>
      </c>
      <c r="B136" t="s">
        <v>327</v>
      </c>
      <c r="C136">
        <v>531000</v>
      </c>
      <c r="D136">
        <v>424800</v>
      </c>
      <c r="E136" s="2">
        <v>45858</v>
      </c>
      <c r="F136" s="2">
        <v>45858</v>
      </c>
      <c r="G136" t="s">
        <v>111</v>
      </c>
      <c r="H136" t="s">
        <v>328</v>
      </c>
      <c r="I136" t="s">
        <v>27</v>
      </c>
      <c r="J136" s="3">
        <v>45862.557638888888</v>
      </c>
      <c r="K136">
        <f t="shared" si="14"/>
        <v>7</v>
      </c>
      <c r="L136">
        <v>2025</v>
      </c>
      <c r="M136">
        <v>2025</v>
      </c>
      <c r="N136">
        <v>2025</v>
      </c>
      <c r="O136">
        <v>2025</v>
      </c>
      <c r="P136" t="s">
        <v>28</v>
      </c>
      <c r="Q136" t="s">
        <v>29</v>
      </c>
      <c r="R136" s="2">
        <v>45551</v>
      </c>
      <c r="S136">
        <v>1</v>
      </c>
      <c r="T136" t="s">
        <v>30</v>
      </c>
      <c r="U136" t="s">
        <v>41</v>
      </c>
      <c r="V136" t="s">
        <v>32</v>
      </c>
      <c r="W136" t="s">
        <v>328</v>
      </c>
      <c r="X136" t="s">
        <v>37</v>
      </c>
      <c r="Y136" t="s">
        <v>34</v>
      </c>
      <c r="Z136" t="str">
        <f t="shared" si="15"/>
        <v>0-6</v>
      </c>
      <c r="AA136" t="s">
        <v>590</v>
      </c>
      <c r="AB136">
        <v>1</v>
      </c>
      <c r="AC136" t="str" cm="1">
        <f t="array" ref="AC136">_xlfn.SWITCH(AB136,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6" t="str">
        <f t="shared" si="16"/>
        <v>80%</v>
      </c>
      <c r="AE136" t="s">
        <v>671</v>
      </c>
      <c r="AF136" s="8">
        <f t="shared" si="17"/>
        <v>45858</v>
      </c>
      <c r="AG136" s="8">
        <f>_xlfn.XLOOKUP(AE136, Dev!$A:$A, Dev!$B:$B, "")</f>
        <v>45751.516053240739</v>
      </c>
      <c r="AH136" s="11">
        <f t="shared" si="18"/>
        <v>106.48394675926102</v>
      </c>
    </row>
    <row r="137" spans="1:34" x14ac:dyDescent="0.3">
      <c r="A137" s="1">
        <v>135</v>
      </c>
      <c r="B137" t="s">
        <v>329</v>
      </c>
      <c r="C137">
        <v>739764</v>
      </c>
      <c r="D137">
        <v>734764</v>
      </c>
      <c r="E137" s="2">
        <v>45861</v>
      </c>
      <c r="G137" t="s">
        <v>42</v>
      </c>
      <c r="H137" t="s">
        <v>123</v>
      </c>
      <c r="I137" t="s">
        <v>27</v>
      </c>
      <c r="J137" s="3">
        <v>45861.938888888886</v>
      </c>
      <c r="K137">
        <f t="shared" si="14"/>
        <v>7</v>
      </c>
      <c r="L137">
        <v>2025</v>
      </c>
      <c r="M137">
        <v>2025</v>
      </c>
      <c r="N137">
        <v>2025</v>
      </c>
      <c r="O137">
        <v>2025</v>
      </c>
      <c r="P137" t="s">
        <v>28</v>
      </c>
      <c r="Q137" t="s">
        <v>29</v>
      </c>
      <c r="R137" s="2">
        <v>45196</v>
      </c>
      <c r="S137">
        <v>2</v>
      </c>
      <c r="T137" t="s">
        <v>30</v>
      </c>
      <c r="U137" t="s">
        <v>41</v>
      </c>
      <c r="V137" t="s">
        <v>32</v>
      </c>
      <c r="W137" t="s">
        <v>459</v>
      </c>
      <c r="X137" t="s">
        <v>33</v>
      </c>
      <c r="Y137" t="s">
        <v>34</v>
      </c>
      <c r="Z137" t="str">
        <f t="shared" si="15"/>
        <v>0-6</v>
      </c>
      <c r="AA137" t="s">
        <v>600</v>
      </c>
      <c r="AB137">
        <v>79</v>
      </c>
      <c r="AC137" t="str" cm="1">
        <f t="array" ref="AC137">_xlfn.SWITCH(AB137,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37" t="str">
        <f t="shared" si="16"/>
        <v>99.32%</v>
      </c>
      <c r="AE137" t="s">
        <v>681</v>
      </c>
      <c r="AF137" s="8">
        <f t="shared" si="17"/>
        <v>45861</v>
      </c>
      <c r="AG137" s="8">
        <f>_xlfn.XLOOKUP(AE137, Dev!$A:$A, Dev!$B:$B, "")</f>
        <v>45809.488657407404</v>
      </c>
      <c r="AH137" s="11">
        <f t="shared" si="18"/>
        <v>51.511342592595611</v>
      </c>
    </row>
    <row r="138" spans="1:34" x14ac:dyDescent="0.3">
      <c r="A138" s="1">
        <v>136</v>
      </c>
      <c r="B138" t="s">
        <v>330</v>
      </c>
      <c r="C138">
        <v>31000000</v>
      </c>
      <c r="D138">
        <v>23673543</v>
      </c>
      <c r="E138" s="2">
        <v>45842</v>
      </c>
      <c r="F138" s="2">
        <v>45855</v>
      </c>
      <c r="G138" t="s">
        <v>39</v>
      </c>
      <c r="H138" t="s">
        <v>331</v>
      </c>
      <c r="I138" t="s">
        <v>27</v>
      </c>
      <c r="J138" s="3">
        <v>45861.625</v>
      </c>
      <c r="K138">
        <f t="shared" si="14"/>
        <v>7</v>
      </c>
      <c r="L138">
        <v>2025</v>
      </c>
      <c r="M138">
        <v>2025</v>
      </c>
      <c r="N138">
        <v>2025</v>
      </c>
      <c r="O138">
        <v>2025</v>
      </c>
      <c r="P138" t="s">
        <v>28</v>
      </c>
      <c r="Q138" t="s">
        <v>29</v>
      </c>
      <c r="R138" s="2">
        <v>45714</v>
      </c>
      <c r="S138">
        <v>0</v>
      </c>
      <c r="T138" t="s">
        <v>30</v>
      </c>
      <c r="U138" t="s">
        <v>31</v>
      </c>
      <c r="V138" t="s">
        <v>71</v>
      </c>
      <c r="W138" t="s">
        <v>503</v>
      </c>
      <c r="X138" t="s">
        <v>42</v>
      </c>
      <c r="Y138" t="s">
        <v>34</v>
      </c>
      <c r="Z138" t="str">
        <f t="shared" si="15"/>
        <v>0-6</v>
      </c>
      <c r="AA138" t="s">
        <v>601</v>
      </c>
      <c r="AB138">
        <v>31</v>
      </c>
      <c r="AC138" t="str" cm="1">
        <f t="array" ref="AC138">_xlfn.SWITCH(AB138,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138" t="str">
        <f t="shared" si="16"/>
        <v>76.37%</v>
      </c>
      <c r="AE138" t="s">
        <v>682</v>
      </c>
      <c r="AF138" s="8">
        <f t="shared" si="17"/>
        <v>45842</v>
      </c>
      <c r="AG138" s="8">
        <f>_xlfn.XLOOKUP(AE138, Dev!$A:$A, Dev!$B:$B, "")</f>
        <v>45745.495810185188</v>
      </c>
      <c r="AH138" s="11">
        <f t="shared" si="18"/>
        <v>96.50418981481198</v>
      </c>
    </row>
    <row r="139" spans="1:34" x14ac:dyDescent="0.3">
      <c r="A139" s="1">
        <v>137</v>
      </c>
      <c r="B139" t="s">
        <v>332</v>
      </c>
      <c r="C139">
        <v>1851055</v>
      </c>
      <c r="D139">
        <v>800000</v>
      </c>
      <c r="E139" s="2">
        <v>45857</v>
      </c>
      <c r="F139" s="2">
        <v>45857</v>
      </c>
      <c r="G139" t="s">
        <v>259</v>
      </c>
      <c r="H139" t="s">
        <v>333</v>
      </c>
      <c r="I139" t="s">
        <v>27</v>
      </c>
      <c r="J139" s="3">
        <v>45861.01666666667</v>
      </c>
      <c r="K139">
        <f t="shared" si="14"/>
        <v>7</v>
      </c>
      <c r="L139">
        <v>2025</v>
      </c>
      <c r="M139">
        <v>2025</v>
      </c>
      <c r="N139">
        <v>2025</v>
      </c>
      <c r="O139">
        <v>2025</v>
      </c>
      <c r="P139" t="s">
        <v>28</v>
      </c>
      <c r="Q139" t="s">
        <v>29</v>
      </c>
      <c r="R139" s="2">
        <v>45590</v>
      </c>
      <c r="S139">
        <v>0</v>
      </c>
      <c r="T139" t="s">
        <v>30</v>
      </c>
      <c r="U139" t="s">
        <v>41</v>
      </c>
      <c r="V139" t="s">
        <v>32</v>
      </c>
      <c r="W139" t="s">
        <v>333</v>
      </c>
      <c r="X139" t="s">
        <v>180</v>
      </c>
      <c r="Y139" t="s">
        <v>34</v>
      </c>
      <c r="Z139" t="str">
        <f t="shared" si="15"/>
        <v>0-6</v>
      </c>
      <c r="AA139" t="s">
        <v>588</v>
      </c>
      <c r="AB139">
        <v>1</v>
      </c>
      <c r="AC139" t="str" cm="1">
        <f t="array" ref="AC139">_xlfn.SWITCH(AB139,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9" t="str">
        <f t="shared" si="16"/>
        <v>43.22%</v>
      </c>
      <c r="AE139" t="s">
        <v>669</v>
      </c>
      <c r="AF139" s="8">
        <f t="shared" si="17"/>
        <v>45857</v>
      </c>
      <c r="AG139" s="8">
        <f>_xlfn.XLOOKUP(AE139, Dev!$A:$A, Dev!$B:$B, "")</f>
        <v>45727.475266203706</v>
      </c>
      <c r="AH139" s="11">
        <f t="shared" si="18"/>
        <v>129.52473379629373</v>
      </c>
    </row>
    <row r="140" spans="1:34" x14ac:dyDescent="0.3">
      <c r="A140" s="1">
        <v>138</v>
      </c>
      <c r="B140" t="s">
        <v>334</v>
      </c>
      <c r="C140">
        <v>1618000</v>
      </c>
      <c r="D140">
        <v>893000</v>
      </c>
      <c r="E140" s="2">
        <v>45860</v>
      </c>
      <c r="G140" t="s">
        <v>46</v>
      </c>
      <c r="H140" t="s">
        <v>335</v>
      </c>
      <c r="I140" t="s">
        <v>27</v>
      </c>
      <c r="J140" s="3">
        <v>45860.918055555558</v>
      </c>
      <c r="K140">
        <f t="shared" si="14"/>
        <v>7</v>
      </c>
      <c r="L140">
        <v>2025</v>
      </c>
      <c r="M140">
        <v>2025</v>
      </c>
      <c r="N140">
        <v>2025</v>
      </c>
      <c r="O140">
        <v>2025</v>
      </c>
      <c r="P140" t="s">
        <v>28</v>
      </c>
      <c r="Q140" t="s">
        <v>29</v>
      </c>
      <c r="R140" s="2">
        <v>45283</v>
      </c>
      <c r="S140">
        <v>1</v>
      </c>
      <c r="T140" t="s">
        <v>30</v>
      </c>
      <c r="U140" t="s">
        <v>41</v>
      </c>
      <c r="V140" t="s">
        <v>32</v>
      </c>
      <c r="W140" t="s">
        <v>504</v>
      </c>
      <c r="X140" t="s">
        <v>37</v>
      </c>
      <c r="Y140" t="s">
        <v>34</v>
      </c>
      <c r="Z140" t="str">
        <f t="shared" si="15"/>
        <v>0-6</v>
      </c>
      <c r="AA140" t="s">
        <v>540</v>
      </c>
      <c r="AB140">
        <v>35</v>
      </c>
      <c r="AC140" t="str" cm="1">
        <f t="array" ref="AC140">_xlfn.SWITCH(AB140,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Hà Nam</v>
      </c>
      <c r="AD140" t="str">
        <f t="shared" si="16"/>
        <v>55.19%</v>
      </c>
      <c r="AE140" t="s">
        <v>621</v>
      </c>
      <c r="AF140" s="8">
        <f t="shared" si="17"/>
        <v>45860</v>
      </c>
      <c r="AG140" s="8">
        <f>_xlfn.XLOOKUP(AE140, Dev!$A:$A, Dev!$B:$B, "")</f>
        <v>45723.677615740744</v>
      </c>
      <c r="AH140" s="11">
        <f t="shared" si="18"/>
        <v>136.32238425925607</v>
      </c>
    </row>
    <row r="141" spans="1:34" x14ac:dyDescent="0.3">
      <c r="A141" s="1">
        <v>139</v>
      </c>
      <c r="B141" t="s">
        <v>336</v>
      </c>
      <c r="C141">
        <v>232500</v>
      </c>
      <c r="D141">
        <v>186000</v>
      </c>
      <c r="E141" s="2">
        <v>45854</v>
      </c>
      <c r="F141" s="2">
        <v>45854</v>
      </c>
      <c r="G141" t="s">
        <v>114</v>
      </c>
      <c r="H141" t="s">
        <v>337</v>
      </c>
      <c r="I141" t="s">
        <v>27</v>
      </c>
      <c r="J141" s="3">
        <v>45860.725694444445</v>
      </c>
      <c r="K141">
        <f t="shared" si="14"/>
        <v>7</v>
      </c>
      <c r="L141">
        <v>2025</v>
      </c>
      <c r="M141">
        <v>2025</v>
      </c>
      <c r="N141">
        <v>2025</v>
      </c>
      <c r="O141">
        <v>2025</v>
      </c>
      <c r="P141" t="s">
        <v>28</v>
      </c>
      <c r="Q141" t="s">
        <v>29</v>
      </c>
      <c r="R141" s="2">
        <v>44269</v>
      </c>
      <c r="S141">
        <v>4</v>
      </c>
      <c r="T141" t="s">
        <v>30</v>
      </c>
      <c r="U141" t="s">
        <v>41</v>
      </c>
      <c r="V141" t="s">
        <v>32</v>
      </c>
      <c r="W141" t="s">
        <v>337</v>
      </c>
      <c r="X141" t="s">
        <v>33</v>
      </c>
      <c r="Y141" t="s">
        <v>34</v>
      </c>
      <c r="Z141" t="str">
        <f t="shared" si="15"/>
        <v>0-6</v>
      </c>
      <c r="AA141" t="s">
        <v>541</v>
      </c>
      <c r="AB141">
        <v>79</v>
      </c>
      <c r="AC141" t="str" cm="1">
        <f t="array" ref="AC141">_xlfn.SWITCH(AB141,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1" t="str">
        <f t="shared" si="16"/>
        <v>80%</v>
      </c>
      <c r="AE141" t="s">
        <v>622</v>
      </c>
      <c r="AF141" s="8">
        <f t="shared" si="17"/>
        <v>45854</v>
      </c>
      <c r="AG141" s="8">
        <f>_xlfn.XLOOKUP(AE141, Dev!$A:$A, Dev!$B:$B, "")</f>
        <v>45689</v>
      </c>
      <c r="AH141" s="11">
        <f t="shared" si="18"/>
        <v>165</v>
      </c>
    </row>
    <row r="142" spans="1:34" x14ac:dyDescent="0.3">
      <c r="A142" s="1">
        <v>140</v>
      </c>
      <c r="B142" t="s">
        <v>338</v>
      </c>
      <c r="C142">
        <v>434500</v>
      </c>
      <c r="D142">
        <v>279200</v>
      </c>
      <c r="E142" s="2">
        <v>45851</v>
      </c>
      <c r="F142" s="2">
        <v>45851</v>
      </c>
      <c r="G142" t="s">
        <v>114</v>
      </c>
      <c r="H142" t="s">
        <v>214</v>
      </c>
      <c r="I142" t="s">
        <v>27</v>
      </c>
      <c r="J142" s="3">
        <v>45860.722916666666</v>
      </c>
      <c r="K142">
        <f t="shared" si="14"/>
        <v>7</v>
      </c>
      <c r="L142">
        <v>2025</v>
      </c>
      <c r="M142">
        <v>2025</v>
      </c>
      <c r="N142">
        <v>2025</v>
      </c>
      <c r="O142">
        <v>2025</v>
      </c>
      <c r="P142" t="s">
        <v>28</v>
      </c>
      <c r="Q142" t="s">
        <v>29</v>
      </c>
      <c r="R142" s="2">
        <v>44269</v>
      </c>
      <c r="S142">
        <v>4</v>
      </c>
      <c r="T142" t="s">
        <v>30</v>
      </c>
      <c r="U142" t="s">
        <v>41</v>
      </c>
      <c r="V142" t="s">
        <v>32</v>
      </c>
      <c r="W142" t="s">
        <v>214</v>
      </c>
      <c r="X142" t="s">
        <v>33</v>
      </c>
      <c r="Y142" t="s">
        <v>34</v>
      </c>
      <c r="Z142" t="str">
        <f t="shared" si="15"/>
        <v>0-6</v>
      </c>
      <c r="AA142" t="s">
        <v>541</v>
      </c>
      <c r="AB142">
        <v>79</v>
      </c>
      <c r="AC142" t="str" cm="1">
        <f t="array" ref="AC142">_xlfn.SWITCH(AB142,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2" t="str">
        <f t="shared" si="16"/>
        <v>64.26%</v>
      </c>
      <c r="AE142" t="s">
        <v>622</v>
      </c>
      <c r="AF142" s="8">
        <f t="shared" si="17"/>
        <v>45851</v>
      </c>
      <c r="AG142" s="8">
        <f>_xlfn.XLOOKUP(AE142, Dev!$A:$A, Dev!$B:$B, "")</f>
        <v>45689</v>
      </c>
      <c r="AH142" s="11">
        <f t="shared" si="18"/>
        <v>162</v>
      </c>
    </row>
    <row r="143" spans="1:34" x14ac:dyDescent="0.3">
      <c r="A143" s="1">
        <v>141</v>
      </c>
      <c r="B143" t="s">
        <v>339</v>
      </c>
      <c r="C143">
        <v>646090</v>
      </c>
      <c r="D143">
        <v>646090</v>
      </c>
      <c r="E143" s="2">
        <v>45851</v>
      </c>
      <c r="F143" s="2">
        <v>45851</v>
      </c>
      <c r="G143" t="s">
        <v>340</v>
      </c>
      <c r="H143" t="s">
        <v>341</v>
      </c>
      <c r="I143" t="s">
        <v>27</v>
      </c>
      <c r="J143" s="3">
        <v>45860.025694444441</v>
      </c>
      <c r="K143">
        <f t="shared" si="14"/>
        <v>7</v>
      </c>
      <c r="L143">
        <v>2025</v>
      </c>
      <c r="M143">
        <v>2025</v>
      </c>
      <c r="N143">
        <v>2025</v>
      </c>
      <c r="O143">
        <v>2025</v>
      </c>
      <c r="P143" t="s">
        <v>28</v>
      </c>
      <c r="Q143" t="s">
        <v>29</v>
      </c>
      <c r="R143" s="2">
        <v>45590</v>
      </c>
      <c r="S143">
        <v>0</v>
      </c>
      <c r="T143" t="s">
        <v>30</v>
      </c>
      <c r="U143" t="s">
        <v>41</v>
      </c>
      <c r="V143" t="s">
        <v>32</v>
      </c>
      <c r="W143" t="s">
        <v>341</v>
      </c>
      <c r="X143" t="s">
        <v>42</v>
      </c>
      <c r="Y143" t="s">
        <v>34</v>
      </c>
      <c r="Z143" t="str">
        <f t="shared" si="15"/>
        <v>0-6</v>
      </c>
      <c r="AA143" t="s">
        <v>588</v>
      </c>
      <c r="AB143">
        <v>1</v>
      </c>
      <c r="AC143" t="str" cm="1">
        <f t="array" ref="AC143">_xlfn.SWITCH(AB143,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43" t="str">
        <f t="shared" si="16"/>
        <v>100%</v>
      </c>
      <c r="AE143" t="s">
        <v>669</v>
      </c>
      <c r="AF143" s="8">
        <f t="shared" si="17"/>
        <v>45851</v>
      </c>
      <c r="AG143" s="8">
        <f>_xlfn.XLOOKUP(AE143, Dev!$A:$A, Dev!$B:$B, "")</f>
        <v>45727.475266203706</v>
      </c>
      <c r="AH143" s="11">
        <f t="shared" si="18"/>
        <v>123.52473379629373</v>
      </c>
    </row>
    <row r="144" spans="1:34" x14ac:dyDescent="0.3">
      <c r="A144" s="1">
        <v>142</v>
      </c>
      <c r="B144" t="s">
        <v>342</v>
      </c>
      <c r="C144">
        <v>1340830</v>
      </c>
      <c r="D144">
        <v>898130</v>
      </c>
      <c r="E144" s="2">
        <v>45840</v>
      </c>
      <c r="F144" s="2">
        <v>45840</v>
      </c>
      <c r="G144" t="s">
        <v>39</v>
      </c>
      <c r="H144" t="s">
        <v>343</v>
      </c>
      <c r="I144" t="s">
        <v>27</v>
      </c>
      <c r="J144" s="3">
        <v>45859.658333333333</v>
      </c>
      <c r="K144">
        <f t="shared" si="14"/>
        <v>7</v>
      </c>
      <c r="L144">
        <v>2025</v>
      </c>
      <c r="M144">
        <v>2025</v>
      </c>
      <c r="N144">
        <v>2025</v>
      </c>
      <c r="O144">
        <v>2025</v>
      </c>
      <c r="P144" t="s">
        <v>28</v>
      </c>
      <c r="Q144" t="s">
        <v>29</v>
      </c>
      <c r="R144" s="2">
        <v>45676</v>
      </c>
      <c r="S144">
        <v>0</v>
      </c>
      <c r="T144" t="s">
        <v>30</v>
      </c>
      <c r="U144" t="s">
        <v>31</v>
      </c>
      <c r="V144" t="s">
        <v>32</v>
      </c>
      <c r="W144" t="s">
        <v>505</v>
      </c>
      <c r="X144" t="s">
        <v>37</v>
      </c>
      <c r="Y144" t="s">
        <v>34</v>
      </c>
      <c r="Z144" t="str">
        <f t="shared" si="15"/>
        <v>0-6</v>
      </c>
      <c r="AA144" t="s">
        <v>569</v>
      </c>
      <c r="AB144">
        <v>1</v>
      </c>
      <c r="AC144" t="str" cm="1">
        <f t="array" ref="AC144">_xlfn.SWITCH(AB144,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44" t="str">
        <f t="shared" si="16"/>
        <v>66.98%</v>
      </c>
      <c r="AE144" t="s">
        <v>650</v>
      </c>
      <c r="AF144" s="8">
        <f t="shared" si="17"/>
        <v>45840</v>
      </c>
      <c r="AG144" s="8">
        <f>_xlfn.XLOOKUP(AE144, Dev!$A:$A, Dev!$B:$B, "")</f>
        <v>45763.86923611111</v>
      </c>
      <c r="AH144" s="11">
        <f t="shared" si="18"/>
        <v>76.130763888890215</v>
      </c>
    </row>
    <row r="145" spans="1:34" x14ac:dyDescent="0.3">
      <c r="A145" s="1">
        <v>143</v>
      </c>
      <c r="B145" t="s">
        <v>344</v>
      </c>
      <c r="C145">
        <v>196000</v>
      </c>
      <c r="D145">
        <v>156800</v>
      </c>
      <c r="E145" s="2">
        <v>45854</v>
      </c>
      <c r="F145" s="2">
        <v>45854</v>
      </c>
      <c r="G145" t="s">
        <v>301</v>
      </c>
      <c r="H145" t="s">
        <v>195</v>
      </c>
      <c r="I145" t="s">
        <v>27</v>
      </c>
      <c r="J145" s="3">
        <v>45859.640277777777</v>
      </c>
      <c r="K145">
        <f t="shared" si="14"/>
        <v>7</v>
      </c>
      <c r="L145">
        <v>2025</v>
      </c>
      <c r="M145">
        <v>2025</v>
      </c>
      <c r="N145">
        <v>2025</v>
      </c>
      <c r="O145">
        <v>2025</v>
      </c>
      <c r="P145" t="s">
        <v>28</v>
      </c>
      <c r="Q145" t="s">
        <v>29</v>
      </c>
      <c r="R145" s="2">
        <v>45090</v>
      </c>
      <c r="S145">
        <v>2</v>
      </c>
      <c r="T145" t="s">
        <v>30</v>
      </c>
      <c r="U145" t="s">
        <v>31</v>
      </c>
      <c r="V145" t="s">
        <v>32</v>
      </c>
      <c r="W145" t="s">
        <v>74</v>
      </c>
      <c r="X145" t="s">
        <v>33</v>
      </c>
      <c r="Y145" t="s">
        <v>34</v>
      </c>
      <c r="Z145" t="str">
        <f t="shared" si="15"/>
        <v>0-6</v>
      </c>
      <c r="AA145" t="s">
        <v>570</v>
      </c>
      <c r="AB145">
        <v>79</v>
      </c>
      <c r="AC145" t="str" cm="1">
        <f t="array" ref="AC145">_xlfn.SWITCH(AB145,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5" t="str">
        <f t="shared" si="16"/>
        <v>80%</v>
      </c>
      <c r="AE145" t="s">
        <v>651</v>
      </c>
      <c r="AF145" s="8">
        <f t="shared" si="17"/>
        <v>45854</v>
      </c>
      <c r="AG145" s="8">
        <f>_xlfn.XLOOKUP(AE145, Dev!$A:$A, Dev!$B:$B, "")</f>
        <v>45576.580300925925</v>
      </c>
      <c r="AH145" s="11">
        <f t="shared" si="18"/>
        <v>277.41969907407474</v>
      </c>
    </row>
    <row r="146" spans="1:34" x14ac:dyDescent="0.3">
      <c r="A146" s="1">
        <v>144</v>
      </c>
      <c r="B146" t="s">
        <v>345</v>
      </c>
      <c r="C146">
        <v>151000</v>
      </c>
      <c r="D146">
        <v>58400</v>
      </c>
      <c r="E146" s="2">
        <v>45839</v>
      </c>
      <c r="F146" s="2">
        <v>45839</v>
      </c>
      <c r="G146" t="s">
        <v>301</v>
      </c>
      <c r="H146" t="s">
        <v>305</v>
      </c>
      <c r="I146" t="s">
        <v>27</v>
      </c>
      <c r="J146" s="3">
        <v>45859.638194444444</v>
      </c>
      <c r="K146">
        <f t="shared" si="14"/>
        <v>7</v>
      </c>
      <c r="L146">
        <v>2025</v>
      </c>
      <c r="M146">
        <v>2025</v>
      </c>
      <c r="N146">
        <v>2025</v>
      </c>
      <c r="O146">
        <v>2025</v>
      </c>
      <c r="P146" t="s">
        <v>28</v>
      </c>
      <c r="Q146" t="s">
        <v>29</v>
      </c>
      <c r="R146" s="2">
        <v>45090</v>
      </c>
      <c r="S146">
        <v>2</v>
      </c>
      <c r="T146" t="s">
        <v>30</v>
      </c>
      <c r="U146" t="s">
        <v>31</v>
      </c>
      <c r="V146" t="s">
        <v>32</v>
      </c>
      <c r="W146" t="s">
        <v>49</v>
      </c>
      <c r="X146" t="s">
        <v>33</v>
      </c>
      <c r="Y146" t="s">
        <v>34</v>
      </c>
      <c r="Z146" t="str">
        <f t="shared" si="15"/>
        <v>0-6</v>
      </c>
      <c r="AA146" t="s">
        <v>570</v>
      </c>
      <c r="AB146">
        <v>79</v>
      </c>
      <c r="AC146" t="str" cm="1">
        <f t="array" ref="AC146">_xlfn.SWITCH(AB146,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6" t="str">
        <f t="shared" si="16"/>
        <v>38.68%</v>
      </c>
      <c r="AE146" t="s">
        <v>651</v>
      </c>
      <c r="AF146" s="8">
        <f t="shared" si="17"/>
        <v>45839</v>
      </c>
      <c r="AG146" s="8">
        <f>_xlfn.XLOOKUP(AE146, Dev!$A:$A, Dev!$B:$B, "")</f>
        <v>45576.580300925925</v>
      </c>
      <c r="AH146" s="11">
        <f t="shared" si="18"/>
        <v>262.41969907407474</v>
      </c>
    </row>
    <row r="147" spans="1:34" x14ac:dyDescent="0.3">
      <c r="A147" s="1">
        <v>145</v>
      </c>
      <c r="B147" t="s">
        <v>346</v>
      </c>
      <c r="C147">
        <v>140000</v>
      </c>
      <c r="D147">
        <v>105552</v>
      </c>
      <c r="E147" s="2">
        <v>45838</v>
      </c>
      <c r="F147" s="2">
        <v>45838</v>
      </c>
      <c r="G147" t="s">
        <v>301</v>
      </c>
      <c r="H147" t="s">
        <v>347</v>
      </c>
      <c r="I147" t="s">
        <v>27</v>
      </c>
      <c r="J147" s="3">
        <v>45859.636111111111</v>
      </c>
      <c r="K147">
        <f t="shared" si="14"/>
        <v>7</v>
      </c>
      <c r="L147">
        <v>2025</v>
      </c>
      <c r="M147">
        <v>2025</v>
      </c>
      <c r="N147">
        <v>2025</v>
      </c>
      <c r="O147">
        <v>2025</v>
      </c>
      <c r="P147" t="s">
        <v>28</v>
      </c>
      <c r="Q147" t="s">
        <v>29</v>
      </c>
      <c r="R147" s="2">
        <v>45090</v>
      </c>
      <c r="S147">
        <v>2</v>
      </c>
      <c r="T147" t="s">
        <v>30</v>
      </c>
      <c r="U147" t="s">
        <v>31</v>
      </c>
      <c r="V147" t="s">
        <v>32</v>
      </c>
      <c r="W147" t="s">
        <v>506</v>
      </c>
      <c r="X147" t="s">
        <v>33</v>
      </c>
      <c r="Y147" t="s">
        <v>34</v>
      </c>
      <c r="Z147" t="str">
        <f t="shared" si="15"/>
        <v>0-6</v>
      </c>
      <c r="AA147" t="s">
        <v>570</v>
      </c>
      <c r="AB147">
        <v>79</v>
      </c>
      <c r="AC147" t="str" cm="1">
        <f t="array" ref="AC147">_xlfn.SWITCH(AB147,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7" t="str">
        <f t="shared" si="16"/>
        <v>75.39%</v>
      </c>
      <c r="AE147" t="s">
        <v>651</v>
      </c>
      <c r="AF147" s="8">
        <f t="shared" si="17"/>
        <v>45838</v>
      </c>
      <c r="AG147" s="8">
        <f>_xlfn.XLOOKUP(AE147, Dev!$A:$A, Dev!$B:$B, "")</f>
        <v>45576.580300925925</v>
      </c>
      <c r="AH147" s="11">
        <f t="shared" si="18"/>
        <v>261.41969907407474</v>
      </c>
    </row>
    <row r="148" spans="1:34" x14ac:dyDescent="0.3">
      <c r="A148" s="1">
        <v>146</v>
      </c>
      <c r="B148" t="s">
        <v>348</v>
      </c>
      <c r="C148">
        <v>1531000</v>
      </c>
      <c r="D148">
        <v>960000</v>
      </c>
      <c r="E148" s="2">
        <v>45859</v>
      </c>
      <c r="G148" t="s">
        <v>349</v>
      </c>
      <c r="H148" t="s">
        <v>350</v>
      </c>
      <c r="I148" t="s">
        <v>27</v>
      </c>
      <c r="J148" s="3">
        <v>45859.458333333336</v>
      </c>
      <c r="K148">
        <f t="shared" si="14"/>
        <v>7</v>
      </c>
      <c r="L148">
        <v>2025</v>
      </c>
      <c r="M148">
        <v>2025</v>
      </c>
      <c r="N148">
        <v>2025</v>
      </c>
      <c r="O148">
        <v>2025</v>
      </c>
      <c r="P148" t="s">
        <v>28</v>
      </c>
      <c r="Q148" t="s">
        <v>29</v>
      </c>
      <c r="R148" s="2">
        <v>45394</v>
      </c>
      <c r="S148">
        <v>1</v>
      </c>
      <c r="T148" t="s">
        <v>30</v>
      </c>
      <c r="U148" t="s">
        <v>41</v>
      </c>
      <c r="V148" t="s">
        <v>32</v>
      </c>
      <c r="W148" t="s">
        <v>350</v>
      </c>
      <c r="X148" t="s">
        <v>42</v>
      </c>
      <c r="Y148" t="s">
        <v>34</v>
      </c>
      <c r="Z148" t="str">
        <f t="shared" si="15"/>
        <v>0-6</v>
      </c>
      <c r="AA148" t="s">
        <v>587</v>
      </c>
      <c r="AB148">
        <v>1</v>
      </c>
      <c r="AC148" t="str" cm="1">
        <f t="array" ref="AC148">_xlfn.SWITCH(AB148,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48" t="str">
        <f t="shared" si="16"/>
        <v>62.7%</v>
      </c>
      <c r="AE148" t="s">
        <v>668</v>
      </c>
      <c r="AF148" s="8">
        <f t="shared" si="17"/>
        <v>45859</v>
      </c>
      <c r="AG148" s="8">
        <f>_xlfn.XLOOKUP(AE148, Dev!$A:$A, Dev!$B:$B, "")</f>
        <v>45762.554652777777</v>
      </c>
      <c r="AH148" s="11">
        <f t="shared" si="18"/>
        <v>96.445347222223063</v>
      </c>
    </row>
    <row r="149" spans="1:34" x14ac:dyDescent="0.3">
      <c r="A149" s="1">
        <v>147</v>
      </c>
      <c r="B149" t="s">
        <v>351</v>
      </c>
      <c r="C149">
        <v>600000</v>
      </c>
      <c r="D149">
        <v>480000</v>
      </c>
      <c r="E149" s="2">
        <v>45854</v>
      </c>
      <c r="F149" s="2">
        <v>45854</v>
      </c>
      <c r="G149" t="s">
        <v>352</v>
      </c>
      <c r="H149" t="s">
        <v>353</v>
      </c>
      <c r="I149" t="s">
        <v>27</v>
      </c>
      <c r="J149" s="3">
        <v>45859.455555555556</v>
      </c>
      <c r="K149">
        <f t="shared" si="14"/>
        <v>7</v>
      </c>
      <c r="L149">
        <v>2025</v>
      </c>
      <c r="M149">
        <v>2025</v>
      </c>
      <c r="N149">
        <v>2025</v>
      </c>
      <c r="O149">
        <v>2025</v>
      </c>
      <c r="P149" t="s">
        <v>28</v>
      </c>
      <c r="Q149" t="s">
        <v>29</v>
      </c>
      <c r="R149" s="2">
        <v>45201</v>
      </c>
      <c r="S149">
        <v>2</v>
      </c>
      <c r="T149" t="s">
        <v>30</v>
      </c>
      <c r="U149" t="s">
        <v>31</v>
      </c>
      <c r="V149" t="s">
        <v>32</v>
      </c>
      <c r="W149" t="s">
        <v>507</v>
      </c>
      <c r="X149" t="s">
        <v>42</v>
      </c>
      <c r="Y149" t="s">
        <v>34</v>
      </c>
      <c r="Z149" t="str">
        <f t="shared" si="15"/>
        <v>0-6</v>
      </c>
      <c r="AA149" t="s">
        <v>602</v>
      </c>
      <c r="AB149">
        <v>1</v>
      </c>
      <c r="AC149" t="str" cm="1">
        <f t="array" ref="AC149">_xlfn.SWITCH(AB149,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49" t="str">
        <f t="shared" si="16"/>
        <v>80%</v>
      </c>
      <c r="AE149" t="s">
        <v>683</v>
      </c>
      <c r="AF149" s="8">
        <f t="shared" si="17"/>
        <v>45854</v>
      </c>
      <c r="AG149" s="8">
        <f>_xlfn.XLOOKUP(AE149, Dev!$A:$A, Dev!$B:$B, "")</f>
        <v>45822.591377314813</v>
      </c>
      <c r="AH149" s="11">
        <f t="shared" si="18"/>
        <v>31.408622685186856</v>
      </c>
    </row>
    <row r="150" spans="1:34" x14ac:dyDescent="0.3">
      <c r="A150" s="1">
        <v>148</v>
      </c>
      <c r="B150" t="s">
        <v>354</v>
      </c>
      <c r="C150">
        <v>791000</v>
      </c>
      <c r="D150">
        <v>280000</v>
      </c>
      <c r="E150" s="2">
        <v>45856</v>
      </c>
      <c r="G150" t="s">
        <v>314</v>
      </c>
      <c r="H150" t="s">
        <v>355</v>
      </c>
      <c r="I150" t="s">
        <v>27</v>
      </c>
      <c r="J150" s="3">
        <v>45859.395833333336</v>
      </c>
      <c r="K150">
        <f t="shared" si="14"/>
        <v>7</v>
      </c>
      <c r="L150">
        <v>2025</v>
      </c>
      <c r="M150">
        <v>2025</v>
      </c>
      <c r="N150">
        <v>2025</v>
      </c>
      <c r="O150">
        <v>2025</v>
      </c>
      <c r="P150" t="s">
        <v>28</v>
      </c>
      <c r="Q150" t="s">
        <v>29</v>
      </c>
      <c r="R150" s="2">
        <v>45764</v>
      </c>
      <c r="S150">
        <v>0</v>
      </c>
      <c r="T150" t="s">
        <v>30</v>
      </c>
      <c r="U150" t="s">
        <v>31</v>
      </c>
      <c r="V150" t="s">
        <v>32</v>
      </c>
      <c r="W150" t="s">
        <v>508</v>
      </c>
      <c r="X150" t="s">
        <v>42</v>
      </c>
      <c r="Y150" t="s">
        <v>34</v>
      </c>
      <c r="Z150" t="str">
        <f t="shared" si="15"/>
        <v>0-6</v>
      </c>
      <c r="AA150" t="s">
        <v>603</v>
      </c>
      <c r="AB150">
        <v>1</v>
      </c>
      <c r="AC150" t="str" cm="1">
        <f t="array" ref="AC150">_xlfn.SWITCH(AB150,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50" t="str">
        <f t="shared" si="16"/>
        <v>35.4%</v>
      </c>
      <c r="AE150" t="s">
        <v>684</v>
      </c>
      <c r="AF150" s="8">
        <f t="shared" si="17"/>
        <v>45856</v>
      </c>
      <c r="AG150" s="8">
        <f>_xlfn.XLOOKUP(AE150, Dev!$A:$A, Dev!$B:$B, "")</f>
        <v>45823.580069444448</v>
      </c>
      <c r="AH150" s="11">
        <f t="shared" si="18"/>
        <v>32.419930555552128</v>
      </c>
    </row>
    <row r="151" spans="1:34" x14ac:dyDescent="0.3">
      <c r="A151" s="1">
        <v>149</v>
      </c>
      <c r="B151" t="s">
        <v>356</v>
      </c>
      <c r="C151">
        <v>5359970</v>
      </c>
      <c r="D151">
        <v>2984475</v>
      </c>
      <c r="E151" s="2">
        <v>45857</v>
      </c>
      <c r="G151" t="s">
        <v>357</v>
      </c>
      <c r="H151" t="s">
        <v>358</v>
      </c>
      <c r="I151" t="s">
        <v>27</v>
      </c>
      <c r="J151" s="3">
        <v>45857.757638888892</v>
      </c>
      <c r="K151">
        <f t="shared" si="14"/>
        <v>7</v>
      </c>
      <c r="L151">
        <v>2025</v>
      </c>
      <c r="M151">
        <v>2025</v>
      </c>
      <c r="N151">
        <v>2025</v>
      </c>
      <c r="O151">
        <v>2025</v>
      </c>
      <c r="P151" t="s">
        <v>28</v>
      </c>
      <c r="Q151" t="s">
        <v>29</v>
      </c>
      <c r="R151" s="2">
        <v>45086</v>
      </c>
      <c r="S151">
        <v>2</v>
      </c>
      <c r="T151" t="s">
        <v>30</v>
      </c>
      <c r="U151" t="s">
        <v>31</v>
      </c>
      <c r="V151" t="s">
        <v>71</v>
      </c>
      <c r="W151" t="s">
        <v>509</v>
      </c>
      <c r="X151" t="s">
        <v>37</v>
      </c>
      <c r="Y151" t="s">
        <v>34</v>
      </c>
      <c r="Z151" t="str">
        <f t="shared" si="15"/>
        <v>0-6</v>
      </c>
      <c r="AA151" t="s">
        <v>604</v>
      </c>
      <c r="AB151">
        <v>49</v>
      </c>
      <c r="AC151" t="str" cm="1">
        <f t="array" ref="AC151">_xlfn.SWITCH(AB151,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Quảng Nam</v>
      </c>
      <c r="AD151" t="str">
        <f t="shared" si="16"/>
        <v>55.68%</v>
      </c>
      <c r="AE151" t="s">
        <v>685</v>
      </c>
      <c r="AF151" s="8">
        <f t="shared" si="17"/>
        <v>45857</v>
      </c>
      <c r="AG151" s="8">
        <f>_xlfn.XLOOKUP(AE151, Dev!$A:$A, Dev!$B:$B, "")</f>
        <v>45589.49491898148</v>
      </c>
      <c r="AH151" s="11">
        <f t="shared" si="18"/>
        <v>267.50508101852029</v>
      </c>
    </row>
    <row r="152" spans="1:34" x14ac:dyDescent="0.3">
      <c r="A152" s="1">
        <v>150</v>
      </c>
      <c r="B152" t="s">
        <v>359</v>
      </c>
      <c r="C152">
        <v>1924255</v>
      </c>
      <c r="D152">
        <v>763173</v>
      </c>
      <c r="E152" s="2">
        <v>45853</v>
      </c>
      <c r="F152" s="2">
        <v>45855</v>
      </c>
      <c r="G152" t="s">
        <v>314</v>
      </c>
      <c r="H152" t="s">
        <v>360</v>
      </c>
      <c r="I152" t="s">
        <v>27</v>
      </c>
      <c r="J152" s="3">
        <v>45856.296527777777</v>
      </c>
      <c r="K152">
        <f t="shared" si="14"/>
        <v>7</v>
      </c>
      <c r="L152">
        <v>2025</v>
      </c>
      <c r="M152">
        <v>2025</v>
      </c>
      <c r="N152">
        <v>2025</v>
      </c>
      <c r="O152">
        <v>2025</v>
      </c>
      <c r="P152" t="s">
        <v>28</v>
      </c>
      <c r="Q152" t="s">
        <v>29</v>
      </c>
      <c r="R152" s="2">
        <v>45569</v>
      </c>
      <c r="S152">
        <v>1</v>
      </c>
      <c r="T152" t="s">
        <v>30</v>
      </c>
      <c r="U152" t="s">
        <v>41</v>
      </c>
      <c r="V152" t="s">
        <v>71</v>
      </c>
      <c r="W152" t="s">
        <v>510</v>
      </c>
      <c r="X152" t="s">
        <v>33</v>
      </c>
      <c r="Y152" t="s">
        <v>34</v>
      </c>
      <c r="Z152" t="str">
        <f t="shared" si="15"/>
        <v>0-6</v>
      </c>
      <c r="AA152" t="s">
        <v>596</v>
      </c>
      <c r="AB152">
        <v>1</v>
      </c>
      <c r="AC152" t="str" cm="1">
        <f t="array" ref="AC152">_xlfn.SWITCH(AB152,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52" t="str">
        <f t="shared" si="16"/>
        <v>39.66%</v>
      </c>
      <c r="AE152" t="s">
        <v>677</v>
      </c>
      <c r="AF152" s="8">
        <f t="shared" si="17"/>
        <v>45853</v>
      </c>
      <c r="AG152" s="8">
        <f>_xlfn.XLOOKUP(AE152, Dev!$A:$A, Dev!$B:$B, "")</f>
        <v>45657.587905092594</v>
      </c>
      <c r="AH152" s="11">
        <f t="shared" si="18"/>
        <v>195.41209490740584</v>
      </c>
    </row>
    <row r="153" spans="1:34" x14ac:dyDescent="0.3">
      <c r="A153" s="1">
        <v>151</v>
      </c>
      <c r="B153" t="s">
        <v>361</v>
      </c>
      <c r="C153">
        <v>356869</v>
      </c>
      <c r="D153">
        <v>109736</v>
      </c>
      <c r="E153" s="2">
        <v>45847</v>
      </c>
      <c r="F153" s="2">
        <v>45847</v>
      </c>
      <c r="G153" t="s">
        <v>42</v>
      </c>
      <c r="H153" t="s">
        <v>362</v>
      </c>
      <c r="I153" t="s">
        <v>27</v>
      </c>
      <c r="J153" s="3">
        <v>45855.576388888891</v>
      </c>
      <c r="K153">
        <f t="shared" si="14"/>
        <v>7</v>
      </c>
      <c r="L153">
        <v>2025</v>
      </c>
      <c r="M153">
        <v>2025</v>
      </c>
      <c r="N153">
        <v>2025</v>
      </c>
      <c r="O153">
        <v>2025</v>
      </c>
      <c r="P153" t="s">
        <v>28</v>
      </c>
      <c r="Q153" t="s">
        <v>29</v>
      </c>
      <c r="R153" s="2">
        <v>45430</v>
      </c>
      <c r="S153">
        <v>1</v>
      </c>
      <c r="T153" t="s">
        <v>30</v>
      </c>
      <c r="U153" t="s">
        <v>41</v>
      </c>
      <c r="V153" t="s">
        <v>32</v>
      </c>
      <c r="W153" t="s">
        <v>511</v>
      </c>
      <c r="X153" t="s">
        <v>33</v>
      </c>
      <c r="Y153" t="s">
        <v>34</v>
      </c>
      <c r="Z153" t="str">
        <f t="shared" si="15"/>
        <v>0-6</v>
      </c>
      <c r="AA153" t="s">
        <v>605</v>
      </c>
      <c r="AB153">
        <v>79</v>
      </c>
      <c r="AC153" t="str" cm="1">
        <f t="array" ref="AC153">_xlfn.SWITCH(AB153,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53" t="str">
        <f t="shared" si="16"/>
        <v>30.75%</v>
      </c>
      <c r="AE153" t="s">
        <v>686</v>
      </c>
      <c r="AF153" s="8">
        <f t="shared" si="17"/>
        <v>45847</v>
      </c>
      <c r="AG153" s="8">
        <f>_xlfn.XLOOKUP(AE153, Dev!$A:$A, Dev!$B:$B, "")</f>
        <v>45505.385671296295</v>
      </c>
      <c r="AH153" s="11">
        <f t="shared" si="18"/>
        <v>341.61432870370481</v>
      </c>
    </row>
    <row r="154" spans="1:34" x14ac:dyDescent="0.3">
      <c r="A154" s="1">
        <v>152</v>
      </c>
      <c r="B154" t="s">
        <v>363</v>
      </c>
      <c r="C154">
        <v>455000</v>
      </c>
      <c r="D154">
        <v>125000</v>
      </c>
      <c r="E154" s="2">
        <v>45833</v>
      </c>
      <c r="F154" s="2">
        <v>45833</v>
      </c>
      <c r="G154" t="s">
        <v>364</v>
      </c>
      <c r="H154" t="s">
        <v>365</v>
      </c>
      <c r="I154" t="s">
        <v>27</v>
      </c>
      <c r="J154" s="3">
        <v>45855.003472222219</v>
      </c>
      <c r="K154">
        <f t="shared" si="14"/>
        <v>7</v>
      </c>
      <c r="L154">
        <v>2025</v>
      </c>
      <c r="M154">
        <v>2025</v>
      </c>
      <c r="N154">
        <v>2025</v>
      </c>
      <c r="O154">
        <v>2025</v>
      </c>
      <c r="P154" t="s">
        <v>28</v>
      </c>
      <c r="Q154" t="s">
        <v>29</v>
      </c>
      <c r="R154" s="2">
        <v>32454</v>
      </c>
      <c r="S154">
        <v>36</v>
      </c>
      <c r="T154" t="s">
        <v>148</v>
      </c>
      <c r="U154" t="s">
        <v>31</v>
      </c>
      <c r="V154" t="s">
        <v>32</v>
      </c>
      <c r="W154" t="s">
        <v>366</v>
      </c>
      <c r="X154" t="s">
        <v>367</v>
      </c>
      <c r="Y154" t="s">
        <v>368</v>
      </c>
      <c r="Z154" t="str">
        <f t="shared" si="15"/>
        <v>36-55</v>
      </c>
      <c r="AA154" t="s">
        <v>606</v>
      </c>
      <c r="AB154">
        <v>79</v>
      </c>
      <c r="AC154" t="str" cm="1">
        <f t="array" ref="AC154">_xlfn.SWITCH(AB154,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54" t="str">
        <f t="shared" si="16"/>
        <v>27.47%</v>
      </c>
      <c r="AE154" t="s">
        <v>687</v>
      </c>
      <c r="AF154" s="8">
        <f t="shared" si="17"/>
        <v>45833</v>
      </c>
      <c r="AG154" s="8">
        <f>_xlfn.XLOOKUP(AE154, Dev!$A:$A, Dev!$B:$B, "")</f>
        <v>45492</v>
      </c>
      <c r="AH154" s="11">
        <f t="shared" si="18"/>
        <v>341</v>
      </c>
    </row>
    <row r="155" spans="1:34" x14ac:dyDescent="0.3">
      <c r="A155" s="1">
        <v>153</v>
      </c>
      <c r="B155" t="s">
        <v>369</v>
      </c>
      <c r="C155">
        <v>140000</v>
      </c>
      <c r="D155">
        <v>140000</v>
      </c>
      <c r="E155" s="2">
        <v>45828</v>
      </c>
      <c r="F155" s="2">
        <v>45828</v>
      </c>
      <c r="G155" t="s">
        <v>364</v>
      </c>
      <c r="H155" t="s">
        <v>370</v>
      </c>
      <c r="I155" t="s">
        <v>27</v>
      </c>
      <c r="J155" s="3">
        <v>45854.979166666664</v>
      </c>
      <c r="K155">
        <f t="shared" si="14"/>
        <v>7</v>
      </c>
      <c r="L155">
        <v>2025</v>
      </c>
      <c r="M155">
        <v>2025</v>
      </c>
      <c r="N155">
        <v>2025</v>
      </c>
      <c r="O155">
        <v>2025</v>
      </c>
      <c r="P155" t="s">
        <v>28</v>
      </c>
      <c r="Q155" t="s">
        <v>29</v>
      </c>
      <c r="R155" s="2">
        <v>32454</v>
      </c>
      <c r="S155">
        <v>36</v>
      </c>
      <c r="T155" t="s">
        <v>148</v>
      </c>
      <c r="U155" t="s">
        <v>31</v>
      </c>
      <c r="V155" t="s">
        <v>71</v>
      </c>
      <c r="W155" t="s">
        <v>371</v>
      </c>
      <c r="X155" t="s">
        <v>78</v>
      </c>
      <c r="Y155" t="s">
        <v>368</v>
      </c>
      <c r="Z155" t="str">
        <f t="shared" si="15"/>
        <v>36-55</v>
      </c>
      <c r="AA155" t="s">
        <v>606</v>
      </c>
      <c r="AB155">
        <v>79</v>
      </c>
      <c r="AC155" t="str" cm="1">
        <f t="array" ref="AC155">_xlfn.SWITCH(AB155,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55" t="str">
        <f t="shared" si="16"/>
        <v>100%</v>
      </c>
      <c r="AE155" t="s">
        <v>687</v>
      </c>
      <c r="AF155" s="8">
        <f t="shared" si="17"/>
        <v>45828</v>
      </c>
      <c r="AG155" s="8">
        <f>_xlfn.XLOOKUP(AE155, Dev!$A:$A, Dev!$B:$B, "")</f>
        <v>45492</v>
      </c>
      <c r="AH155" s="11">
        <f t="shared" si="18"/>
        <v>336</v>
      </c>
    </row>
    <row r="156" spans="1:34" x14ac:dyDescent="0.3">
      <c r="A156" s="1">
        <v>154</v>
      </c>
      <c r="B156" t="s">
        <v>372</v>
      </c>
      <c r="C156">
        <v>368000</v>
      </c>
      <c r="D156">
        <v>244000</v>
      </c>
      <c r="E156" s="2">
        <v>45836</v>
      </c>
      <c r="F156" s="2">
        <v>45836</v>
      </c>
      <c r="G156" t="s">
        <v>364</v>
      </c>
      <c r="H156" t="s">
        <v>373</v>
      </c>
      <c r="I156" t="s">
        <v>27</v>
      </c>
      <c r="J156" s="3">
        <v>45854.97152777778</v>
      </c>
      <c r="K156">
        <f t="shared" si="14"/>
        <v>7</v>
      </c>
      <c r="L156">
        <v>2025</v>
      </c>
      <c r="M156">
        <v>2025</v>
      </c>
      <c r="N156">
        <v>2025</v>
      </c>
      <c r="O156">
        <v>2025</v>
      </c>
      <c r="P156" t="s">
        <v>28</v>
      </c>
      <c r="Q156" t="s">
        <v>29</v>
      </c>
      <c r="R156" s="2">
        <v>32454</v>
      </c>
      <c r="S156">
        <v>36</v>
      </c>
      <c r="T156" t="s">
        <v>148</v>
      </c>
      <c r="U156" t="s">
        <v>31</v>
      </c>
      <c r="V156" t="s">
        <v>32</v>
      </c>
      <c r="W156" t="s">
        <v>374</v>
      </c>
      <c r="X156" t="s">
        <v>375</v>
      </c>
      <c r="Y156" t="s">
        <v>368</v>
      </c>
      <c r="Z156" t="str">
        <f t="shared" si="15"/>
        <v>36-55</v>
      </c>
      <c r="AA156" t="s">
        <v>606</v>
      </c>
      <c r="AB156">
        <v>79</v>
      </c>
      <c r="AC156" t="str" cm="1">
        <f t="array" ref="AC156">_xlfn.SWITCH(AB156,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56" t="str">
        <f t="shared" si="16"/>
        <v>66.3%</v>
      </c>
      <c r="AE156" t="s">
        <v>687</v>
      </c>
      <c r="AF156" s="8">
        <f t="shared" si="17"/>
        <v>45836</v>
      </c>
      <c r="AG156" s="8">
        <f>_xlfn.XLOOKUP(AE156, Dev!$A:$A, Dev!$B:$B, "")</f>
        <v>45492</v>
      </c>
      <c r="AH156" s="11">
        <f t="shared" si="18"/>
        <v>344</v>
      </c>
    </row>
    <row r="157" spans="1:34" x14ac:dyDescent="0.3">
      <c r="A157" s="1">
        <v>155</v>
      </c>
      <c r="B157" t="s">
        <v>376</v>
      </c>
      <c r="C157">
        <v>128400</v>
      </c>
      <c r="D157">
        <v>128400</v>
      </c>
      <c r="E157" s="2">
        <v>45849</v>
      </c>
      <c r="F157" s="2">
        <v>45849</v>
      </c>
      <c r="G157" t="s">
        <v>364</v>
      </c>
      <c r="H157" t="s">
        <v>377</v>
      </c>
      <c r="I157" t="s">
        <v>27</v>
      </c>
      <c r="J157" s="3">
        <v>45854.964583333334</v>
      </c>
      <c r="K157">
        <f t="shared" si="14"/>
        <v>7</v>
      </c>
      <c r="L157">
        <v>2025</v>
      </c>
      <c r="M157">
        <v>2025</v>
      </c>
      <c r="N157">
        <v>2025</v>
      </c>
      <c r="O157">
        <v>2025</v>
      </c>
      <c r="P157" t="s">
        <v>28</v>
      </c>
      <c r="Q157" t="s">
        <v>29</v>
      </c>
      <c r="R157" s="2">
        <v>32454</v>
      </c>
      <c r="S157">
        <v>36</v>
      </c>
      <c r="T157" t="s">
        <v>148</v>
      </c>
      <c r="U157" t="s">
        <v>31</v>
      </c>
      <c r="V157" t="s">
        <v>32</v>
      </c>
      <c r="W157" t="s">
        <v>378</v>
      </c>
      <c r="X157" t="s">
        <v>42</v>
      </c>
      <c r="Y157" t="s">
        <v>368</v>
      </c>
      <c r="Z157" t="str">
        <f t="shared" si="15"/>
        <v>36-55</v>
      </c>
      <c r="AA157" t="s">
        <v>606</v>
      </c>
      <c r="AB157">
        <v>79</v>
      </c>
      <c r="AC157" t="str" cm="1">
        <f t="array" ref="AC157">_xlfn.SWITCH(AB157,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57" t="str">
        <f t="shared" si="16"/>
        <v>100%</v>
      </c>
      <c r="AE157" t="s">
        <v>687</v>
      </c>
      <c r="AF157" s="8">
        <f t="shared" si="17"/>
        <v>45849</v>
      </c>
      <c r="AG157" s="8">
        <f>_xlfn.XLOOKUP(AE157, Dev!$A:$A, Dev!$B:$B, "")</f>
        <v>45492</v>
      </c>
      <c r="AH157" s="11">
        <f t="shared" si="18"/>
        <v>357</v>
      </c>
    </row>
    <row r="158" spans="1:34" x14ac:dyDescent="0.3">
      <c r="A158" s="1">
        <v>156</v>
      </c>
      <c r="B158" t="s">
        <v>379</v>
      </c>
      <c r="C158">
        <v>9200000</v>
      </c>
      <c r="D158">
        <v>5710008</v>
      </c>
      <c r="E158" s="2">
        <v>45847</v>
      </c>
      <c r="F158" s="2">
        <v>45853</v>
      </c>
      <c r="G158" t="s">
        <v>76</v>
      </c>
      <c r="H158" t="s">
        <v>380</v>
      </c>
      <c r="I158" t="s">
        <v>27</v>
      </c>
      <c r="J158" s="3">
        <v>45854.629861111112</v>
      </c>
      <c r="K158">
        <f t="shared" si="14"/>
        <v>7</v>
      </c>
      <c r="L158">
        <v>2025</v>
      </c>
      <c r="M158">
        <v>2025</v>
      </c>
      <c r="N158">
        <v>2025</v>
      </c>
      <c r="O158">
        <v>2025</v>
      </c>
      <c r="P158" t="s">
        <v>28</v>
      </c>
      <c r="Q158" t="s">
        <v>29</v>
      </c>
      <c r="R158" s="2">
        <v>45487</v>
      </c>
      <c r="S158">
        <v>1</v>
      </c>
      <c r="T158" t="s">
        <v>30</v>
      </c>
      <c r="U158" t="s">
        <v>41</v>
      </c>
      <c r="V158" t="s">
        <v>56</v>
      </c>
      <c r="W158" t="s">
        <v>380</v>
      </c>
      <c r="X158" t="s">
        <v>42</v>
      </c>
      <c r="Y158" t="s">
        <v>34</v>
      </c>
      <c r="Z158" t="str">
        <f t="shared" si="15"/>
        <v>0-6</v>
      </c>
      <c r="AA158" t="s">
        <v>547</v>
      </c>
      <c r="AB158">
        <v>27</v>
      </c>
      <c r="AC158" t="str" cm="1">
        <f t="array" ref="AC158">_xlfn.SWITCH(AB158,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158" t="str">
        <f t="shared" si="16"/>
        <v>62.07%</v>
      </c>
      <c r="AE158" t="s">
        <v>628</v>
      </c>
      <c r="AF158" s="8">
        <f t="shared" si="17"/>
        <v>45847</v>
      </c>
      <c r="AG158" s="8">
        <f>_xlfn.XLOOKUP(AE158, Dev!$A:$A, Dev!$B:$B, "")</f>
        <v>45748.820972222224</v>
      </c>
      <c r="AH158" s="11">
        <f t="shared" si="18"/>
        <v>98.179027777776355</v>
      </c>
    </row>
    <row r="159" spans="1:34" x14ac:dyDescent="0.3">
      <c r="A159" s="1">
        <v>157</v>
      </c>
      <c r="B159" t="s">
        <v>381</v>
      </c>
      <c r="C159">
        <v>699080</v>
      </c>
      <c r="D159">
        <v>777126</v>
      </c>
      <c r="E159" s="2">
        <v>45850</v>
      </c>
      <c r="F159" s="2">
        <v>45850</v>
      </c>
      <c r="G159" t="s">
        <v>42</v>
      </c>
      <c r="H159" t="s">
        <v>382</v>
      </c>
      <c r="I159" t="s">
        <v>27</v>
      </c>
      <c r="J159" s="3">
        <v>45854.369444444441</v>
      </c>
      <c r="K159">
        <f t="shared" si="14"/>
        <v>7</v>
      </c>
      <c r="L159">
        <v>2025</v>
      </c>
      <c r="M159">
        <v>2025</v>
      </c>
      <c r="N159">
        <v>2025</v>
      </c>
      <c r="O159">
        <v>2025</v>
      </c>
      <c r="P159" t="s">
        <v>28</v>
      </c>
      <c r="Q159" t="s">
        <v>29</v>
      </c>
      <c r="R159" s="2">
        <v>44455</v>
      </c>
      <c r="S159">
        <v>4</v>
      </c>
      <c r="T159" t="s">
        <v>30</v>
      </c>
      <c r="U159" t="s">
        <v>31</v>
      </c>
      <c r="V159" t="s">
        <v>32</v>
      </c>
      <c r="W159" t="s">
        <v>512</v>
      </c>
      <c r="X159" t="s">
        <v>33</v>
      </c>
      <c r="Y159" t="s">
        <v>34</v>
      </c>
      <c r="Z159" t="str">
        <f t="shared" si="15"/>
        <v>0-6</v>
      </c>
      <c r="AA159" t="s">
        <v>607</v>
      </c>
      <c r="AB159">
        <v>40</v>
      </c>
      <c r="AC159" t="str" cm="1">
        <f t="array" ref="AC159">_xlfn.SWITCH(AB159,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Nghệ An</v>
      </c>
      <c r="AD159" t="str">
        <f t="shared" si="16"/>
        <v>111.16%</v>
      </c>
      <c r="AE159" t="s">
        <v>688</v>
      </c>
      <c r="AF159" s="8">
        <f t="shared" si="17"/>
        <v>45850</v>
      </c>
      <c r="AG159" s="8">
        <f>_xlfn.XLOOKUP(AE159, Dev!$A:$A, Dev!$B:$B, "")</f>
        <v>45561</v>
      </c>
      <c r="AH159" s="11">
        <f t="shared" si="18"/>
        <v>289</v>
      </c>
    </row>
    <row r="160" spans="1:34" x14ac:dyDescent="0.3">
      <c r="A160" s="1">
        <v>158</v>
      </c>
      <c r="B160" t="s">
        <v>383</v>
      </c>
      <c r="C160">
        <v>430000</v>
      </c>
      <c r="D160">
        <v>344000</v>
      </c>
      <c r="E160" s="2">
        <v>45846</v>
      </c>
      <c r="F160" s="2">
        <v>45846</v>
      </c>
      <c r="G160" t="s">
        <v>58</v>
      </c>
      <c r="H160" t="s">
        <v>384</v>
      </c>
      <c r="I160" t="s">
        <v>27</v>
      </c>
      <c r="J160" s="3">
        <v>45853.489583333336</v>
      </c>
      <c r="K160">
        <f t="shared" si="14"/>
        <v>7</v>
      </c>
      <c r="L160">
        <v>2025</v>
      </c>
      <c r="M160">
        <v>2025</v>
      </c>
      <c r="N160">
        <v>2025</v>
      </c>
      <c r="O160">
        <v>2025</v>
      </c>
      <c r="P160" t="s">
        <v>28</v>
      </c>
      <c r="Q160" t="s">
        <v>29</v>
      </c>
      <c r="R160" s="2">
        <v>44507</v>
      </c>
      <c r="S160">
        <v>3</v>
      </c>
      <c r="T160" t="s">
        <v>30</v>
      </c>
      <c r="U160" t="s">
        <v>41</v>
      </c>
      <c r="V160" t="s">
        <v>32</v>
      </c>
      <c r="W160" t="s">
        <v>513</v>
      </c>
      <c r="X160" t="s">
        <v>42</v>
      </c>
      <c r="Y160" t="s">
        <v>34</v>
      </c>
      <c r="Z160" t="str">
        <f t="shared" si="15"/>
        <v>0-6</v>
      </c>
      <c r="AA160" t="s">
        <v>543</v>
      </c>
      <c r="AB160">
        <v>79</v>
      </c>
      <c r="AC160" t="str" cm="1">
        <f t="array" ref="AC160">_xlfn.SWITCH(AB160,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60" t="str">
        <f t="shared" si="16"/>
        <v>80%</v>
      </c>
      <c r="AE160" t="s">
        <v>624</v>
      </c>
      <c r="AF160" s="8">
        <f t="shared" si="17"/>
        <v>45846</v>
      </c>
      <c r="AG160" s="8">
        <f>_xlfn.XLOOKUP(AE160, Dev!$A:$A, Dev!$B:$B, "")</f>
        <v>45618.507708333331</v>
      </c>
      <c r="AH160" s="11">
        <f t="shared" si="18"/>
        <v>227.49229166666919</v>
      </c>
    </row>
    <row r="161" spans="1:34" x14ac:dyDescent="0.3">
      <c r="A161" s="1">
        <v>159</v>
      </c>
      <c r="B161" t="s">
        <v>385</v>
      </c>
      <c r="C161">
        <v>630984</v>
      </c>
      <c r="D161">
        <v>492787</v>
      </c>
      <c r="E161" s="2">
        <v>45849</v>
      </c>
      <c r="G161" t="s">
        <v>191</v>
      </c>
      <c r="H161" t="s">
        <v>386</v>
      </c>
      <c r="I161" t="s">
        <v>27</v>
      </c>
      <c r="J161" s="3">
        <v>45852.896527777775</v>
      </c>
      <c r="K161">
        <f t="shared" si="14"/>
        <v>7</v>
      </c>
      <c r="L161">
        <v>2025</v>
      </c>
      <c r="M161">
        <v>2025</v>
      </c>
      <c r="N161">
        <v>2025</v>
      </c>
      <c r="O161">
        <v>2025</v>
      </c>
      <c r="P161" t="s">
        <v>28</v>
      </c>
      <c r="Q161" t="s">
        <v>29</v>
      </c>
      <c r="R161" s="2">
        <v>45305</v>
      </c>
      <c r="S161">
        <v>1</v>
      </c>
      <c r="T161" t="s">
        <v>30</v>
      </c>
      <c r="U161" t="s">
        <v>41</v>
      </c>
      <c r="V161" t="s">
        <v>71</v>
      </c>
      <c r="W161" t="s">
        <v>514</v>
      </c>
      <c r="X161" t="s">
        <v>33</v>
      </c>
      <c r="Y161" t="s">
        <v>34</v>
      </c>
      <c r="Z161" t="str">
        <f t="shared" si="15"/>
        <v>0-6</v>
      </c>
      <c r="AA161" t="s">
        <v>608</v>
      </c>
      <c r="AB161">
        <v>74</v>
      </c>
      <c r="AC161" t="str" cm="1">
        <f t="array" ref="AC161">_xlfn.SWITCH(AB161,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161" t="str">
        <f t="shared" si="16"/>
        <v>78.1%</v>
      </c>
      <c r="AE161" t="s">
        <v>689</v>
      </c>
      <c r="AF161" s="8">
        <f t="shared" si="17"/>
        <v>45849</v>
      </c>
      <c r="AG161" s="8">
        <f>_xlfn.XLOOKUP(AE161, Dev!$A:$A, Dev!$B:$B, "")</f>
        <v>45743</v>
      </c>
      <c r="AH161" s="11">
        <f t="shared" si="18"/>
        <v>106</v>
      </c>
    </row>
    <row r="162" spans="1:34" x14ac:dyDescent="0.3">
      <c r="A162" s="1">
        <v>160</v>
      </c>
      <c r="B162" t="s">
        <v>387</v>
      </c>
      <c r="C162">
        <v>676609</v>
      </c>
      <c r="D162">
        <v>279228</v>
      </c>
      <c r="E162" s="2">
        <v>45851</v>
      </c>
      <c r="G162" t="s">
        <v>25</v>
      </c>
      <c r="H162" t="s">
        <v>388</v>
      </c>
      <c r="I162" t="s">
        <v>27</v>
      </c>
      <c r="J162" s="3">
        <v>45851.928472222222</v>
      </c>
      <c r="K162">
        <f t="shared" ref="K162:K189" si="19">MONTH(J162)</f>
        <v>7</v>
      </c>
      <c r="L162">
        <v>2025</v>
      </c>
      <c r="M162">
        <v>2025</v>
      </c>
      <c r="N162">
        <v>2025</v>
      </c>
      <c r="O162">
        <v>2025</v>
      </c>
      <c r="P162" t="s">
        <v>28</v>
      </c>
      <c r="Q162" t="s">
        <v>29</v>
      </c>
      <c r="R162" s="2">
        <v>44634</v>
      </c>
      <c r="S162">
        <v>3</v>
      </c>
      <c r="T162" t="s">
        <v>30</v>
      </c>
      <c r="U162" t="s">
        <v>31</v>
      </c>
      <c r="V162" t="s">
        <v>32</v>
      </c>
      <c r="W162" t="s">
        <v>515</v>
      </c>
      <c r="X162" t="s">
        <v>33</v>
      </c>
      <c r="Y162" t="s">
        <v>34</v>
      </c>
      <c r="Z162" t="str">
        <f t="shared" ref="Z162:Z189" si="20">IF(S162&lt;=6,"0-6",
IF(S162&lt;=17,"7-17",
IF(S162&lt;=35,"18-35",
IF(S162&lt;=55,"36-55",
"56+"))))</f>
        <v>0-6</v>
      </c>
      <c r="AA162" t="s">
        <v>556</v>
      </c>
      <c r="AB162">
        <v>79</v>
      </c>
      <c r="AC162" t="str" cm="1">
        <f t="array" ref="AC162">_xlfn.SWITCH(AB162,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62" t="str">
        <f t="shared" si="16"/>
        <v>41.27%</v>
      </c>
      <c r="AE162" t="s">
        <v>637</v>
      </c>
      <c r="AF162" s="8">
        <f t="shared" si="17"/>
        <v>45851</v>
      </c>
      <c r="AG162" s="8">
        <f>_xlfn.XLOOKUP(AE162, Dev!$A:$A, Dev!$B:$B, "")</f>
        <v>45749.551354166666</v>
      </c>
      <c r="AH162" s="11">
        <f t="shared" si="18"/>
        <v>101.44864583333401</v>
      </c>
    </row>
    <row r="163" spans="1:34" x14ac:dyDescent="0.3">
      <c r="A163" s="1">
        <v>161</v>
      </c>
      <c r="B163" t="s">
        <v>389</v>
      </c>
      <c r="C163">
        <v>1197000</v>
      </c>
      <c r="D163">
        <v>863600</v>
      </c>
      <c r="E163" s="2">
        <v>45851</v>
      </c>
      <c r="G163" t="s">
        <v>390</v>
      </c>
      <c r="H163" t="s">
        <v>391</v>
      </c>
      <c r="I163" t="s">
        <v>27</v>
      </c>
      <c r="J163" s="3">
        <v>45851.87777777778</v>
      </c>
      <c r="K163">
        <f t="shared" si="19"/>
        <v>7</v>
      </c>
      <c r="L163">
        <v>2025</v>
      </c>
      <c r="M163">
        <v>2025</v>
      </c>
      <c r="N163">
        <v>2025</v>
      </c>
      <c r="O163">
        <v>2025</v>
      </c>
      <c r="P163" t="s">
        <v>28</v>
      </c>
      <c r="Q163" t="s">
        <v>29</v>
      </c>
      <c r="R163" s="2">
        <v>45213</v>
      </c>
      <c r="S163">
        <v>2</v>
      </c>
      <c r="T163" t="s">
        <v>30</v>
      </c>
      <c r="U163" t="s">
        <v>41</v>
      </c>
      <c r="V163" t="s">
        <v>32</v>
      </c>
      <c r="W163" t="s">
        <v>516</v>
      </c>
      <c r="X163" t="s">
        <v>78</v>
      </c>
      <c r="Y163" t="s">
        <v>34</v>
      </c>
      <c r="Z163" t="str">
        <f t="shared" si="20"/>
        <v>0-6</v>
      </c>
      <c r="AA163" t="s">
        <v>609</v>
      </c>
      <c r="AB163">
        <v>1</v>
      </c>
      <c r="AC163" t="str" cm="1">
        <f t="array" ref="AC163">_xlfn.SWITCH(AB163,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63" t="str">
        <f t="shared" si="16"/>
        <v>72.15%</v>
      </c>
      <c r="AE163" t="s">
        <v>690</v>
      </c>
      <c r="AF163" s="8">
        <f t="shared" si="17"/>
        <v>45851</v>
      </c>
      <c r="AG163" s="8">
        <f>_xlfn.XLOOKUP(AE163, Dev!$A:$A, Dev!$B:$B, "")</f>
        <v>45713.689409722225</v>
      </c>
      <c r="AH163" s="11">
        <f t="shared" si="18"/>
        <v>137.31059027777519</v>
      </c>
    </row>
    <row r="164" spans="1:34" x14ac:dyDescent="0.3">
      <c r="A164" s="1">
        <v>162</v>
      </c>
      <c r="B164" t="s">
        <v>392</v>
      </c>
      <c r="C164">
        <v>1233167</v>
      </c>
      <c r="D164">
        <v>640000</v>
      </c>
      <c r="E164" s="2">
        <v>45848</v>
      </c>
      <c r="F164" s="2">
        <v>45848</v>
      </c>
      <c r="G164" t="s">
        <v>25</v>
      </c>
      <c r="H164" t="s">
        <v>393</v>
      </c>
      <c r="I164" t="s">
        <v>27</v>
      </c>
      <c r="J164" s="3">
        <v>45850.938888888886</v>
      </c>
      <c r="K164">
        <f t="shared" si="19"/>
        <v>7</v>
      </c>
      <c r="L164">
        <v>2025</v>
      </c>
      <c r="M164">
        <v>2025</v>
      </c>
      <c r="N164">
        <v>2025</v>
      </c>
      <c r="O164">
        <v>2025</v>
      </c>
      <c r="P164" t="s">
        <v>28</v>
      </c>
      <c r="Q164" t="s">
        <v>29</v>
      </c>
      <c r="R164" s="2">
        <v>44634</v>
      </c>
      <c r="S164">
        <v>3</v>
      </c>
      <c r="T164" t="s">
        <v>30</v>
      </c>
      <c r="U164" t="s">
        <v>31</v>
      </c>
      <c r="V164" t="s">
        <v>32</v>
      </c>
      <c r="W164" t="s">
        <v>517</v>
      </c>
      <c r="X164" t="s">
        <v>42</v>
      </c>
      <c r="Y164" t="s">
        <v>34</v>
      </c>
      <c r="Z164" t="str">
        <f t="shared" si="20"/>
        <v>0-6</v>
      </c>
      <c r="AA164" t="s">
        <v>556</v>
      </c>
      <c r="AB164">
        <v>79</v>
      </c>
      <c r="AC164" t="str" cm="1">
        <f t="array" ref="AC164">_xlfn.SWITCH(AB164,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64" t="str">
        <f t="shared" si="16"/>
        <v>51.9%</v>
      </c>
      <c r="AE164" t="s">
        <v>637</v>
      </c>
      <c r="AF164" s="8">
        <f t="shared" si="17"/>
        <v>45848</v>
      </c>
      <c r="AG164" s="8">
        <f>_xlfn.XLOOKUP(AE164, Dev!$A:$A, Dev!$B:$B, "")</f>
        <v>45749.551354166666</v>
      </c>
      <c r="AH164" s="11">
        <f t="shared" si="18"/>
        <v>98.448645833334012</v>
      </c>
    </row>
    <row r="165" spans="1:34" x14ac:dyDescent="0.3">
      <c r="A165" s="1">
        <v>163</v>
      </c>
      <c r="B165" t="s">
        <v>394</v>
      </c>
      <c r="C165">
        <v>621472</v>
      </c>
      <c r="D165">
        <v>621472</v>
      </c>
      <c r="E165" s="2">
        <v>45846</v>
      </c>
      <c r="F165" s="2">
        <v>45846</v>
      </c>
      <c r="G165" t="s">
        <v>395</v>
      </c>
      <c r="H165" t="s">
        <v>396</v>
      </c>
      <c r="I165" t="s">
        <v>27</v>
      </c>
      <c r="J165" s="3">
        <v>45849.9375</v>
      </c>
      <c r="K165">
        <f t="shared" si="19"/>
        <v>7</v>
      </c>
      <c r="L165">
        <v>2025</v>
      </c>
      <c r="M165">
        <v>2025</v>
      </c>
      <c r="N165">
        <v>2025</v>
      </c>
      <c r="O165">
        <v>2025</v>
      </c>
      <c r="P165" t="s">
        <v>28</v>
      </c>
      <c r="Q165" t="s">
        <v>29</v>
      </c>
      <c r="R165" s="2">
        <v>43674</v>
      </c>
      <c r="S165">
        <v>6</v>
      </c>
      <c r="T165" t="s">
        <v>30</v>
      </c>
      <c r="U165" t="s">
        <v>41</v>
      </c>
      <c r="V165" t="s">
        <v>32</v>
      </c>
      <c r="W165" t="s">
        <v>518</v>
      </c>
      <c r="X165" t="s">
        <v>42</v>
      </c>
      <c r="Y165" t="s">
        <v>34</v>
      </c>
      <c r="Z165" t="str">
        <f t="shared" si="20"/>
        <v>0-6</v>
      </c>
      <c r="AA165" t="s">
        <v>610</v>
      </c>
      <c r="AB165">
        <v>27</v>
      </c>
      <c r="AC165" t="str" cm="1">
        <f t="array" ref="AC165">_xlfn.SWITCH(AB165,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165" t="str">
        <f t="shared" si="16"/>
        <v>100%</v>
      </c>
      <c r="AE165" t="s">
        <v>691</v>
      </c>
      <c r="AF165" s="8">
        <f t="shared" si="17"/>
        <v>45846</v>
      </c>
      <c r="AG165" s="8">
        <f>_xlfn.XLOOKUP(AE165, Dev!$A:$A, Dev!$B:$B, "")</f>
        <v>45671.646087962959</v>
      </c>
      <c r="AH165" s="11">
        <f t="shared" si="18"/>
        <v>174.35391203704057</v>
      </c>
    </row>
    <row r="166" spans="1:34" x14ac:dyDescent="0.3">
      <c r="A166" s="1">
        <v>164</v>
      </c>
      <c r="B166" t="s">
        <v>397</v>
      </c>
      <c r="C166">
        <v>604296</v>
      </c>
      <c r="D166">
        <v>604296</v>
      </c>
      <c r="E166" s="2">
        <v>45847</v>
      </c>
      <c r="F166" s="2">
        <v>45847</v>
      </c>
      <c r="G166" t="s">
        <v>398</v>
      </c>
      <c r="H166" t="s">
        <v>399</v>
      </c>
      <c r="I166" t="s">
        <v>27</v>
      </c>
      <c r="J166" s="3">
        <v>45849.476388888892</v>
      </c>
      <c r="K166">
        <f t="shared" si="19"/>
        <v>7</v>
      </c>
      <c r="L166">
        <v>2025</v>
      </c>
      <c r="M166">
        <v>2025</v>
      </c>
      <c r="N166">
        <v>2025</v>
      </c>
      <c r="O166">
        <v>2025</v>
      </c>
      <c r="P166" t="s">
        <v>28</v>
      </c>
      <c r="Q166" t="s">
        <v>29</v>
      </c>
      <c r="R166" s="2">
        <v>45094</v>
      </c>
      <c r="S166">
        <v>2</v>
      </c>
      <c r="T166" t="s">
        <v>30</v>
      </c>
      <c r="U166" t="s">
        <v>41</v>
      </c>
      <c r="V166" t="s">
        <v>32</v>
      </c>
      <c r="W166" t="s">
        <v>519</v>
      </c>
      <c r="X166" t="s">
        <v>180</v>
      </c>
      <c r="Y166" t="s">
        <v>34</v>
      </c>
      <c r="Z166" t="str">
        <f t="shared" si="20"/>
        <v>0-6</v>
      </c>
      <c r="AA166" t="s">
        <v>611</v>
      </c>
      <c r="AB166">
        <v>79</v>
      </c>
      <c r="AC166" t="str" cm="1">
        <f t="array" ref="AC166">_xlfn.SWITCH(AB166,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66" t="str">
        <f t="shared" si="16"/>
        <v>100%</v>
      </c>
      <c r="AE166" t="s">
        <v>692</v>
      </c>
      <c r="AF166" s="8">
        <f t="shared" si="17"/>
        <v>45847</v>
      </c>
      <c r="AG166" s="8">
        <f>_xlfn.XLOOKUP(AE166, Dev!$A:$A, Dev!$B:$B, "")</f>
        <v>45641</v>
      </c>
      <c r="AH166" s="11">
        <f t="shared" si="18"/>
        <v>206</v>
      </c>
    </row>
    <row r="167" spans="1:34" x14ac:dyDescent="0.3">
      <c r="A167" s="1">
        <v>165</v>
      </c>
      <c r="B167" t="s">
        <v>400</v>
      </c>
      <c r="C167">
        <v>431846</v>
      </c>
      <c r="D167">
        <v>431846</v>
      </c>
      <c r="E167" s="2">
        <v>45845</v>
      </c>
      <c r="F167" s="2">
        <v>45845</v>
      </c>
      <c r="G167" t="s">
        <v>398</v>
      </c>
      <c r="H167" t="s">
        <v>399</v>
      </c>
      <c r="I167" t="s">
        <v>27</v>
      </c>
      <c r="J167" s="3">
        <v>45849.473611111112</v>
      </c>
      <c r="K167">
        <f t="shared" si="19"/>
        <v>7</v>
      </c>
      <c r="L167">
        <v>2025</v>
      </c>
      <c r="M167">
        <v>2025</v>
      </c>
      <c r="N167">
        <v>2025</v>
      </c>
      <c r="O167">
        <v>2025</v>
      </c>
      <c r="P167" t="s">
        <v>28</v>
      </c>
      <c r="Q167" t="s">
        <v>29</v>
      </c>
      <c r="R167" s="2">
        <v>45094</v>
      </c>
      <c r="S167">
        <v>2</v>
      </c>
      <c r="T167" t="s">
        <v>30</v>
      </c>
      <c r="U167" t="s">
        <v>41</v>
      </c>
      <c r="V167" t="s">
        <v>32</v>
      </c>
      <c r="W167" t="s">
        <v>519</v>
      </c>
      <c r="X167" t="s">
        <v>180</v>
      </c>
      <c r="Y167" t="s">
        <v>34</v>
      </c>
      <c r="Z167" t="str">
        <f t="shared" si="20"/>
        <v>0-6</v>
      </c>
      <c r="AA167" t="s">
        <v>611</v>
      </c>
      <c r="AB167">
        <v>79</v>
      </c>
      <c r="AC167" t="str" cm="1">
        <f t="array" ref="AC167">_xlfn.SWITCH(AB167,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67" t="str">
        <f t="shared" si="16"/>
        <v>100%</v>
      </c>
      <c r="AE167" t="s">
        <v>692</v>
      </c>
      <c r="AF167" s="8">
        <f t="shared" si="17"/>
        <v>45845</v>
      </c>
      <c r="AG167" s="8">
        <f>_xlfn.XLOOKUP(AE167, Dev!$A:$A, Dev!$B:$B, "")</f>
        <v>45641</v>
      </c>
      <c r="AH167" s="11">
        <f t="shared" si="18"/>
        <v>204</v>
      </c>
    </row>
    <row r="168" spans="1:34" x14ac:dyDescent="0.3">
      <c r="A168" s="1">
        <v>166</v>
      </c>
      <c r="B168" t="s">
        <v>401</v>
      </c>
      <c r="C168">
        <v>1289263</v>
      </c>
      <c r="D168">
        <v>1011410</v>
      </c>
      <c r="E168" s="2">
        <v>45843</v>
      </c>
      <c r="F168" s="2">
        <v>45843</v>
      </c>
      <c r="G168" t="s">
        <v>25</v>
      </c>
      <c r="H168" t="s">
        <v>402</v>
      </c>
      <c r="I168" t="s">
        <v>27</v>
      </c>
      <c r="J168" s="3">
        <v>45848.890972222223</v>
      </c>
      <c r="K168">
        <f t="shared" si="19"/>
        <v>7</v>
      </c>
      <c r="L168">
        <v>2025</v>
      </c>
      <c r="M168">
        <v>2025</v>
      </c>
      <c r="N168">
        <v>2025</v>
      </c>
      <c r="O168">
        <v>2025</v>
      </c>
      <c r="P168" t="s">
        <v>28</v>
      </c>
      <c r="Q168" t="s">
        <v>29</v>
      </c>
      <c r="R168" s="2">
        <v>45656</v>
      </c>
      <c r="S168">
        <v>0</v>
      </c>
      <c r="T168" t="s">
        <v>30</v>
      </c>
      <c r="U168" t="s">
        <v>41</v>
      </c>
      <c r="V168" t="s">
        <v>32</v>
      </c>
      <c r="W168" t="s">
        <v>520</v>
      </c>
      <c r="X168" t="s">
        <v>78</v>
      </c>
      <c r="Y168" t="s">
        <v>34</v>
      </c>
      <c r="Z168" t="str">
        <f t="shared" si="20"/>
        <v>0-6</v>
      </c>
      <c r="AA168" t="s">
        <v>575</v>
      </c>
      <c r="AB168">
        <v>82</v>
      </c>
      <c r="AC168" t="str" cm="1">
        <f t="array" ref="AC168">_xlfn.SWITCH(AB168,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168" t="str">
        <f t="shared" si="16"/>
        <v>78.45%</v>
      </c>
      <c r="AE168" t="s">
        <v>656</v>
      </c>
      <c r="AF168" s="8">
        <f t="shared" si="17"/>
        <v>45843</v>
      </c>
      <c r="AG168" s="8">
        <f>_xlfn.XLOOKUP(AE168, Dev!$A:$A, Dev!$B:$B, "")</f>
        <v>45710.506944444445</v>
      </c>
      <c r="AH168" s="11">
        <f t="shared" si="18"/>
        <v>132.49305555555475</v>
      </c>
    </row>
    <row r="169" spans="1:34" x14ac:dyDescent="0.3">
      <c r="A169" s="1">
        <v>167</v>
      </c>
      <c r="B169" t="s">
        <v>403</v>
      </c>
      <c r="C169">
        <v>680000</v>
      </c>
      <c r="D169">
        <v>431200</v>
      </c>
      <c r="E169" s="2">
        <v>45848</v>
      </c>
      <c r="G169" t="s">
        <v>273</v>
      </c>
      <c r="H169" t="s">
        <v>220</v>
      </c>
      <c r="I169" t="s">
        <v>27</v>
      </c>
      <c r="J169" s="3">
        <v>45848.668055555558</v>
      </c>
      <c r="K169">
        <f t="shared" si="19"/>
        <v>7</v>
      </c>
      <c r="L169">
        <v>2025</v>
      </c>
      <c r="M169">
        <v>2025</v>
      </c>
      <c r="N169">
        <v>2025</v>
      </c>
      <c r="O169">
        <v>2025</v>
      </c>
      <c r="P169" t="s">
        <v>28</v>
      </c>
      <c r="Q169" t="s">
        <v>29</v>
      </c>
      <c r="R169" s="2">
        <v>45463</v>
      </c>
      <c r="S169">
        <v>1</v>
      </c>
      <c r="T169" t="s">
        <v>30</v>
      </c>
      <c r="U169" t="s">
        <v>31</v>
      </c>
      <c r="V169" t="s">
        <v>71</v>
      </c>
      <c r="W169" t="s">
        <v>83</v>
      </c>
      <c r="X169" t="s">
        <v>33</v>
      </c>
      <c r="Y169" t="s">
        <v>34</v>
      </c>
      <c r="Z169" t="str">
        <f t="shared" si="20"/>
        <v>0-6</v>
      </c>
      <c r="AA169" t="s">
        <v>592</v>
      </c>
      <c r="AB169">
        <v>31</v>
      </c>
      <c r="AC169" t="str" cm="1">
        <f t="array" ref="AC169">_xlfn.SWITCH(AB169,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169" t="str">
        <f t="shared" si="16"/>
        <v>63.41%</v>
      </c>
      <c r="AE169" t="s">
        <v>673</v>
      </c>
      <c r="AF169" s="8">
        <f t="shared" si="17"/>
        <v>45848</v>
      </c>
      <c r="AG169" s="8">
        <f>_xlfn.XLOOKUP(AE169, Dev!$A:$A, Dev!$B:$B, "")</f>
        <v>45789.722129629627</v>
      </c>
      <c r="AH169" s="11">
        <f t="shared" si="18"/>
        <v>58.277870370373421</v>
      </c>
    </row>
    <row r="170" spans="1:34" x14ac:dyDescent="0.3">
      <c r="A170" s="1">
        <v>168</v>
      </c>
      <c r="B170" t="s">
        <v>404</v>
      </c>
      <c r="C170">
        <v>579750</v>
      </c>
      <c r="D170">
        <v>463800</v>
      </c>
      <c r="E170" s="2">
        <v>45830</v>
      </c>
      <c r="F170" s="2">
        <v>45830</v>
      </c>
      <c r="G170" t="s">
        <v>154</v>
      </c>
      <c r="H170" t="s">
        <v>405</v>
      </c>
      <c r="I170" t="s">
        <v>27</v>
      </c>
      <c r="J170" s="3">
        <v>45847.792361111111</v>
      </c>
      <c r="K170">
        <f t="shared" si="19"/>
        <v>7</v>
      </c>
      <c r="L170">
        <v>2025</v>
      </c>
      <c r="M170">
        <v>2025</v>
      </c>
      <c r="N170">
        <v>2025</v>
      </c>
      <c r="O170">
        <v>2025</v>
      </c>
      <c r="P170" t="s">
        <v>28</v>
      </c>
      <c r="Q170" t="s">
        <v>29</v>
      </c>
      <c r="R170" s="2">
        <v>44833</v>
      </c>
      <c r="S170">
        <v>3</v>
      </c>
      <c r="T170" t="s">
        <v>30</v>
      </c>
      <c r="U170" t="s">
        <v>41</v>
      </c>
      <c r="V170" t="s">
        <v>32</v>
      </c>
      <c r="W170" t="s">
        <v>521</v>
      </c>
      <c r="X170" t="s">
        <v>78</v>
      </c>
      <c r="Y170" t="s">
        <v>34</v>
      </c>
      <c r="Z170" t="str">
        <f t="shared" si="20"/>
        <v>0-6</v>
      </c>
      <c r="AA170" t="s">
        <v>568</v>
      </c>
      <c r="AB170">
        <v>79</v>
      </c>
      <c r="AC170" t="str" cm="1">
        <f t="array" ref="AC170">_xlfn.SWITCH(AB170,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70" t="str">
        <f t="shared" si="16"/>
        <v>80%</v>
      </c>
      <c r="AE170" t="s">
        <v>649</v>
      </c>
      <c r="AF170" s="8">
        <f t="shared" si="17"/>
        <v>45830</v>
      </c>
      <c r="AG170" s="8">
        <f>_xlfn.XLOOKUP(AE170, Dev!$A:$A, Dev!$B:$B, "")</f>
        <v>45649</v>
      </c>
      <c r="AH170" s="11">
        <f t="shared" si="18"/>
        <v>181</v>
      </c>
    </row>
    <row r="171" spans="1:34" x14ac:dyDescent="0.3">
      <c r="A171" s="1">
        <v>169</v>
      </c>
      <c r="B171" t="s">
        <v>406</v>
      </c>
      <c r="C171">
        <v>380382</v>
      </c>
      <c r="D171">
        <v>380382</v>
      </c>
      <c r="E171" s="2">
        <v>45846</v>
      </c>
      <c r="F171" s="2">
        <v>45846</v>
      </c>
      <c r="G171" t="s">
        <v>67</v>
      </c>
      <c r="H171" t="s">
        <v>407</v>
      </c>
      <c r="I171" t="s">
        <v>27</v>
      </c>
      <c r="J171" s="3">
        <v>45847.418055555558</v>
      </c>
      <c r="K171">
        <f t="shared" si="19"/>
        <v>7</v>
      </c>
      <c r="L171">
        <v>2025</v>
      </c>
      <c r="M171">
        <v>2025</v>
      </c>
      <c r="N171">
        <v>2025</v>
      </c>
      <c r="O171">
        <v>2025</v>
      </c>
      <c r="P171" t="s">
        <v>28</v>
      </c>
      <c r="Q171" t="s">
        <v>29</v>
      </c>
      <c r="R171" s="2">
        <v>45609</v>
      </c>
      <c r="S171">
        <v>0</v>
      </c>
      <c r="T171" t="s">
        <v>30</v>
      </c>
      <c r="U171" t="s">
        <v>41</v>
      </c>
      <c r="V171" t="s">
        <v>32</v>
      </c>
      <c r="W171" t="s">
        <v>522</v>
      </c>
      <c r="X171" t="s">
        <v>37</v>
      </c>
      <c r="Y171" t="s">
        <v>34</v>
      </c>
      <c r="Z171" t="str">
        <f t="shared" si="20"/>
        <v>0-6</v>
      </c>
      <c r="AA171" t="s">
        <v>567</v>
      </c>
      <c r="AB171">
        <v>75</v>
      </c>
      <c r="AC171" t="str" cm="1">
        <f t="array" ref="AC171">_xlfn.SWITCH(AB171,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71" t="str">
        <f t="shared" si="16"/>
        <v>100%</v>
      </c>
      <c r="AE171" t="s">
        <v>648</v>
      </c>
      <c r="AF171" s="8">
        <f t="shared" si="17"/>
        <v>45846</v>
      </c>
      <c r="AG171" s="8">
        <f>_xlfn.XLOOKUP(AE171, Dev!$A:$A, Dev!$B:$B, "")</f>
        <v>45729.416770833333</v>
      </c>
      <c r="AH171" s="11">
        <f t="shared" si="18"/>
        <v>116.58322916666657</v>
      </c>
    </row>
    <row r="172" spans="1:34" x14ac:dyDescent="0.3">
      <c r="A172" s="1">
        <v>170</v>
      </c>
      <c r="B172" t="s">
        <v>408</v>
      </c>
      <c r="C172">
        <v>457470</v>
      </c>
      <c r="D172">
        <v>457470</v>
      </c>
      <c r="E172" s="2">
        <v>45843</v>
      </c>
      <c r="F172" s="2">
        <v>45843</v>
      </c>
      <c r="G172" t="s">
        <v>67</v>
      </c>
      <c r="H172" t="s">
        <v>409</v>
      </c>
      <c r="I172" t="s">
        <v>27</v>
      </c>
      <c r="J172" s="3">
        <v>45847.415277777778</v>
      </c>
      <c r="K172">
        <f t="shared" si="19"/>
        <v>7</v>
      </c>
      <c r="L172">
        <v>2025</v>
      </c>
      <c r="M172">
        <v>2025</v>
      </c>
      <c r="N172">
        <v>2025</v>
      </c>
      <c r="O172">
        <v>2025</v>
      </c>
      <c r="P172" t="s">
        <v>28</v>
      </c>
      <c r="Q172" t="s">
        <v>29</v>
      </c>
      <c r="R172" s="2">
        <v>45609</v>
      </c>
      <c r="S172">
        <v>0</v>
      </c>
      <c r="T172" t="s">
        <v>30</v>
      </c>
      <c r="U172" t="s">
        <v>41</v>
      </c>
      <c r="V172" t="s">
        <v>32</v>
      </c>
      <c r="W172" t="s">
        <v>523</v>
      </c>
      <c r="X172" t="s">
        <v>33</v>
      </c>
      <c r="Y172" t="s">
        <v>34</v>
      </c>
      <c r="Z172" t="str">
        <f t="shared" si="20"/>
        <v>0-6</v>
      </c>
      <c r="AA172" t="s">
        <v>567</v>
      </c>
      <c r="AB172">
        <v>75</v>
      </c>
      <c r="AC172" t="str" cm="1">
        <f t="array" ref="AC172">_xlfn.SWITCH(AB172,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72" t="str">
        <f t="shared" si="16"/>
        <v>100%</v>
      </c>
      <c r="AE172" t="s">
        <v>648</v>
      </c>
      <c r="AF172" s="8">
        <f t="shared" si="17"/>
        <v>45843</v>
      </c>
      <c r="AG172" s="8">
        <f>_xlfn.XLOOKUP(AE172, Dev!$A:$A, Dev!$B:$B, "")</f>
        <v>45729.416770833333</v>
      </c>
      <c r="AH172" s="11">
        <f t="shared" si="18"/>
        <v>113.58322916666657</v>
      </c>
    </row>
    <row r="173" spans="1:34" x14ac:dyDescent="0.3">
      <c r="A173" s="1">
        <v>171</v>
      </c>
      <c r="B173" t="s">
        <v>410</v>
      </c>
      <c r="C173">
        <v>337000</v>
      </c>
      <c r="D173">
        <v>224000</v>
      </c>
      <c r="E173" s="2">
        <v>45839</v>
      </c>
      <c r="F173" s="2">
        <v>45839</v>
      </c>
      <c r="G173" t="s">
        <v>114</v>
      </c>
      <c r="H173" t="s">
        <v>214</v>
      </c>
      <c r="I173" t="s">
        <v>27</v>
      </c>
      <c r="J173" s="3">
        <v>45846.696527777778</v>
      </c>
      <c r="K173">
        <f t="shared" si="19"/>
        <v>7</v>
      </c>
      <c r="L173">
        <v>2025</v>
      </c>
      <c r="M173">
        <v>2025</v>
      </c>
      <c r="N173">
        <v>2025</v>
      </c>
      <c r="O173">
        <v>2025</v>
      </c>
      <c r="P173" t="s">
        <v>28</v>
      </c>
      <c r="Q173" t="s">
        <v>29</v>
      </c>
      <c r="R173" s="2">
        <v>44269</v>
      </c>
      <c r="S173">
        <v>4</v>
      </c>
      <c r="T173" t="s">
        <v>30</v>
      </c>
      <c r="U173" t="s">
        <v>41</v>
      </c>
      <c r="V173" t="s">
        <v>32</v>
      </c>
      <c r="W173" t="s">
        <v>214</v>
      </c>
      <c r="X173" t="s">
        <v>33</v>
      </c>
      <c r="Y173" t="s">
        <v>34</v>
      </c>
      <c r="Z173" t="str">
        <f t="shared" si="20"/>
        <v>0-6</v>
      </c>
      <c r="AA173" t="s">
        <v>541</v>
      </c>
      <c r="AB173">
        <v>79</v>
      </c>
      <c r="AC173" t="str" cm="1">
        <f t="array" ref="AC173">_xlfn.SWITCH(AB173,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73" t="str">
        <f t="shared" si="16"/>
        <v>66.47%</v>
      </c>
      <c r="AE173" t="s">
        <v>622</v>
      </c>
      <c r="AF173" s="8">
        <f t="shared" si="17"/>
        <v>45839</v>
      </c>
      <c r="AG173" s="8">
        <f>_xlfn.XLOOKUP(AE173, Dev!$A:$A, Dev!$B:$B, "")</f>
        <v>45689</v>
      </c>
      <c r="AH173" s="11">
        <f t="shared" si="18"/>
        <v>150</v>
      </c>
    </row>
    <row r="174" spans="1:34" x14ac:dyDescent="0.3">
      <c r="A174" s="1">
        <v>172</v>
      </c>
      <c r="B174" t="s">
        <v>411</v>
      </c>
      <c r="C174">
        <v>352000</v>
      </c>
      <c r="D174">
        <v>236000</v>
      </c>
      <c r="E174" s="2">
        <v>45836</v>
      </c>
      <c r="F174" s="2">
        <v>45836</v>
      </c>
      <c r="G174" t="s">
        <v>114</v>
      </c>
      <c r="H174" t="s">
        <v>214</v>
      </c>
      <c r="I174" t="s">
        <v>27</v>
      </c>
      <c r="J174" s="3">
        <v>45846.694444444445</v>
      </c>
      <c r="K174">
        <f t="shared" si="19"/>
        <v>7</v>
      </c>
      <c r="L174">
        <v>2025</v>
      </c>
      <c r="M174">
        <v>2025</v>
      </c>
      <c r="N174">
        <v>2025</v>
      </c>
      <c r="O174">
        <v>2025</v>
      </c>
      <c r="P174" t="s">
        <v>28</v>
      </c>
      <c r="Q174" t="s">
        <v>29</v>
      </c>
      <c r="R174" s="2">
        <v>44269</v>
      </c>
      <c r="S174">
        <v>4</v>
      </c>
      <c r="T174" t="s">
        <v>30</v>
      </c>
      <c r="U174" t="s">
        <v>41</v>
      </c>
      <c r="V174" t="s">
        <v>32</v>
      </c>
      <c r="W174" t="s">
        <v>214</v>
      </c>
      <c r="X174" t="s">
        <v>33</v>
      </c>
      <c r="Y174" t="s">
        <v>34</v>
      </c>
      <c r="Z174" t="str">
        <f t="shared" si="20"/>
        <v>0-6</v>
      </c>
      <c r="AA174" t="s">
        <v>541</v>
      </c>
      <c r="AB174">
        <v>79</v>
      </c>
      <c r="AC174" t="str" cm="1">
        <f t="array" ref="AC174">_xlfn.SWITCH(AB174,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74" t="str">
        <f t="shared" si="16"/>
        <v>67.05%</v>
      </c>
      <c r="AE174" t="s">
        <v>622</v>
      </c>
      <c r="AF174" s="8">
        <f t="shared" si="17"/>
        <v>45836</v>
      </c>
      <c r="AG174" s="8">
        <f>_xlfn.XLOOKUP(AE174, Dev!$A:$A, Dev!$B:$B, "")</f>
        <v>45689</v>
      </c>
      <c r="AH174" s="11">
        <f t="shared" si="18"/>
        <v>147</v>
      </c>
    </row>
    <row r="175" spans="1:34" x14ac:dyDescent="0.3">
      <c r="A175" s="1">
        <v>173</v>
      </c>
      <c r="B175" t="s">
        <v>412</v>
      </c>
      <c r="C175">
        <v>813956</v>
      </c>
      <c r="D175">
        <v>477572</v>
      </c>
      <c r="E175" s="2">
        <v>45827</v>
      </c>
      <c r="F175" s="2">
        <v>45827</v>
      </c>
      <c r="G175" t="s">
        <v>191</v>
      </c>
      <c r="H175" t="s">
        <v>413</v>
      </c>
      <c r="I175" t="s">
        <v>27</v>
      </c>
      <c r="J175" s="3">
        <v>45845.491666666669</v>
      </c>
      <c r="K175">
        <f t="shared" si="19"/>
        <v>7</v>
      </c>
      <c r="L175">
        <v>2025</v>
      </c>
      <c r="M175">
        <v>2025</v>
      </c>
      <c r="N175">
        <v>2025</v>
      </c>
      <c r="O175">
        <v>2025</v>
      </c>
      <c r="P175" t="s">
        <v>28</v>
      </c>
      <c r="Q175" t="s">
        <v>29</v>
      </c>
      <c r="R175" s="2">
        <v>44954</v>
      </c>
      <c r="S175">
        <v>2</v>
      </c>
      <c r="T175" t="s">
        <v>30</v>
      </c>
      <c r="U175" t="s">
        <v>41</v>
      </c>
      <c r="V175" t="s">
        <v>32</v>
      </c>
      <c r="W175" t="s">
        <v>524</v>
      </c>
      <c r="X175" t="s">
        <v>33</v>
      </c>
      <c r="Y175" t="s">
        <v>34</v>
      </c>
      <c r="Z175" t="str">
        <f t="shared" si="20"/>
        <v>0-6</v>
      </c>
      <c r="AA175" t="s">
        <v>612</v>
      </c>
      <c r="AB175">
        <v>74</v>
      </c>
      <c r="AC175" t="str" cm="1">
        <f t="array" ref="AC175">_xlfn.SWITCH(AB175,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175" t="str">
        <f t="shared" si="16"/>
        <v>58.67%</v>
      </c>
      <c r="AE175" t="s">
        <v>693</v>
      </c>
      <c r="AF175" s="8">
        <f t="shared" si="17"/>
        <v>45827</v>
      </c>
      <c r="AG175" s="8">
        <f>_xlfn.XLOOKUP(AE175, Dev!$A:$A, Dev!$B:$B, "")</f>
        <v>45484</v>
      </c>
      <c r="AH175" s="11">
        <f t="shared" si="18"/>
        <v>343</v>
      </c>
    </row>
    <row r="176" spans="1:34" x14ac:dyDescent="0.3">
      <c r="A176" s="1">
        <v>174</v>
      </c>
      <c r="B176" t="s">
        <v>414</v>
      </c>
      <c r="C176">
        <v>645440</v>
      </c>
      <c r="D176">
        <v>559040</v>
      </c>
      <c r="E176" s="2">
        <v>45843</v>
      </c>
      <c r="F176" s="2">
        <v>45843</v>
      </c>
      <c r="G176" t="s">
        <v>42</v>
      </c>
      <c r="H176" t="s">
        <v>415</v>
      </c>
      <c r="I176" t="s">
        <v>27</v>
      </c>
      <c r="J176" s="3">
        <v>45845.371527777781</v>
      </c>
      <c r="K176">
        <f t="shared" si="19"/>
        <v>7</v>
      </c>
      <c r="L176">
        <v>2025</v>
      </c>
      <c r="M176">
        <v>2025</v>
      </c>
      <c r="N176">
        <v>2025</v>
      </c>
      <c r="O176">
        <v>2025</v>
      </c>
      <c r="P176" t="s">
        <v>28</v>
      </c>
      <c r="Q176" t="s">
        <v>29</v>
      </c>
      <c r="R176" s="2">
        <v>44455</v>
      </c>
      <c r="S176">
        <v>4</v>
      </c>
      <c r="T176" t="s">
        <v>30</v>
      </c>
      <c r="U176" t="s">
        <v>31</v>
      </c>
      <c r="V176" t="s">
        <v>32</v>
      </c>
      <c r="W176" t="s">
        <v>525</v>
      </c>
      <c r="X176" t="s">
        <v>33</v>
      </c>
      <c r="Y176" t="s">
        <v>34</v>
      </c>
      <c r="Z176" t="str">
        <f t="shared" si="20"/>
        <v>0-6</v>
      </c>
      <c r="AA176" t="s">
        <v>607</v>
      </c>
      <c r="AB176">
        <v>40</v>
      </c>
      <c r="AC176" t="str" cm="1">
        <f t="array" ref="AC176">_xlfn.SWITCH(AB176,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Nghệ An</v>
      </c>
      <c r="AD176" t="str">
        <f t="shared" si="16"/>
        <v>86.61%</v>
      </c>
      <c r="AE176" t="s">
        <v>688</v>
      </c>
      <c r="AF176" s="8">
        <f t="shared" si="17"/>
        <v>45843</v>
      </c>
      <c r="AG176" s="8">
        <f>_xlfn.XLOOKUP(AE176, Dev!$A:$A, Dev!$B:$B, "")</f>
        <v>45561</v>
      </c>
      <c r="AH176" s="11">
        <f t="shared" si="18"/>
        <v>282</v>
      </c>
    </row>
    <row r="177" spans="1:34" x14ac:dyDescent="0.3">
      <c r="A177" s="1">
        <v>175</v>
      </c>
      <c r="B177" t="s">
        <v>416</v>
      </c>
      <c r="C177">
        <v>10763860</v>
      </c>
      <c r="D177">
        <v>8120000</v>
      </c>
      <c r="E177" s="2">
        <v>45828</v>
      </c>
      <c r="F177" s="2">
        <v>45832</v>
      </c>
      <c r="G177" t="s">
        <v>259</v>
      </c>
      <c r="H177" t="s">
        <v>417</v>
      </c>
      <c r="I177" t="s">
        <v>27</v>
      </c>
      <c r="J177" s="3">
        <v>45844.93472222222</v>
      </c>
      <c r="K177">
        <f t="shared" si="19"/>
        <v>7</v>
      </c>
      <c r="L177">
        <v>2025</v>
      </c>
      <c r="M177">
        <v>2025</v>
      </c>
      <c r="N177">
        <v>2025</v>
      </c>
      <c r="O177">
        <v>2025</v>
      </c>
      <c r="P177" t="s">
        <v>28</v>
      </c>
      <c r="Q177" t="s">
        <v>29</v>
      </c>
      <c r="R177" s="2">
        <v>45590</v>
      </c>
      <c r="S177">
        <v>0</v>
      </c>
      <c r="T177" t="s">
        <v>30</v>
      </c>
      <c r="U177" t="s">
        <v>41</v>
      </c>
      <c r="V177" t="s">
        <v>71</v>
      </c>
      <c r="W177" t="s">
        <v>526</v>
      </c>
      <c r="X177" t="s">
        <v>37</v>
      </c>
      <c r="Y177" t="s">
        <v>34</v>
      </c>
      <c r="Z177" t="str">
        <f t="shared" si="20"/>
        <v>0-6</v>
      </c>
      <c r="AA177" t="s">
        <v>588</v>
      </c>
      <c r="AB177">
        <v>1</v>
      </c>
      <c r="AC177" t="str" cm="1">
        <f t="array" ref="AC177">_xlfn.SWITCH(AB177,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77" t="str">
        <f t="shared" si="16"/>
        <v>75.44%</v>
      </c>
      <c r="AE177" t="s">
        <v>669</v>
      </c>
      <c r="AF177" s="8">
        <f t="shared" si="17"/>
        <v>45828</v>
      </c>
      <c r="AG177" s="8">
        <f>_xlfn.XLOOKUP(AE177, Dev!$A:$A, Dev!$B:$B, "")</f>
        <v>45727.475266203706</v>
      </c>
      <c r="AH177" s="11">
        <f t="shared" si="18"/>
        <v>100.52473379629373</v>
      </c>
    </row>
    <row r="178" spans="1:34" x14ac:dyDescent="0.3">
      <c r="A178" s="1">
        <v>176</v>
      </c>
      <c r="B178" t="s">
        <v>418</v>
      </c>
      <c r="C178">
        <v>9060635</v>
      </c>
      <c r="D178">
        <v>7330735</v>
      </c>
      <c r="E178" s="2">
        <v>45821</v>
      </c>
      <c r="F178" s="2">
        <v>45826</v>
      </c>
      <c r="G178" t="s">
        <v>259</v>
      </c>
      <c r="H178" t="s">
        <v>419</v>
      </c>
      <c r="I178" t="s">
        <v>27</v>
      </c>
      <c r="J178" s="3">
        <v>45844.921527777777</v>
      </c>
      <c r="K178">
        <f t="shared" si="19"/>
        <v>7</v>
      </c>
      <c r="L178">
        <v>2025</v>
      </c>
      <c r="M178">
        <v>2025</v>
      </c>
      <c r="N178">
        <v>2025</v>
      </c>
      <c r="O178">
        <v>2025</v>
      </c>
      <c r="P178" t="s">
        <v>28</v>
      </c>
      <c r="Q178" t="s">
        <v>29</v>
      </c>
      <c r="R178" s="2">
        <v>45590</v>
      </c>
      <c r="S178">
        <v>0</v>
      </c>
      <c r="T178" t="s">
        <v>30</v>
      </c>
      <c r="U178" t="s">
        <v>41</v>
      </c>
      <c r="V178" t="s">
        <v>71</v>
      </c>
      <c r="W178" t="s">
        <v>527</v>
      </c>
      <c r="X178" t="s">
        <v>33</v>
      </c>
      <c r="Y178" t="s">
        <v>34</v>
      </c>
      <c r="Z178" t="str">
        <f t="shared" si="20"/>
        <v>0-6</v>
      </c>
      <c r="AA178" t="s">
        <v>588</v>
      </c>
      <c r="AB178">
        <v>1</v>
      </c>
      <c r="AC178" t="str" cm="1">
        <f t="array" ref="AC178">_xlfn.SWITCH(AB178,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78" t="str">
        <f t="shared" si="16"/>
        <v>80.91%</v>
      </c>
      <c r="AE178" t="s">
        <v>669</v>
      </c>
      <c r="AF178" s="8">
        <f t="shared" si="17"/>
        <v>45821</v>
      </c>
      <c r="AG178" s="8">
        <f>_xlfn.XLOOKUP(AE178, Dev!$A:$A, Dev!$B:$B, "")</f>
        <v>45727.475266203706</v>
      </c>
      <c r="AH178" s="11">
        <f t="shared" si="18"/>
        <v>93.524733796293731</v>
      </c>
    </row>
    <row r="179" spans="1:34" x14ac:dyDescent="0.3">
      <c r="A179" s="1">
        <v>177</v>
      </c>
      <c r="B179" t="s">
        <v>420</v>
      </c>
      <c r="C179">
        <v>4775821</v>
      </c>
      <c r="D179">
        <v>2571106</v>
      </c>
      <c r="E179" s="2">
        <v>45823</v>
      </c>
      <c r="F179" s="2">
        <v>45828</v>
      </c>
      <c r="G179" t="s">
        <v>276</v>
      </c>
      <c r="H179" t="s">
        <v>421</v>
      </c>
      <c r="I179" t="s">
        <v>27</v>
      </c>
      <c r="J179" s="3">
        <v>45844.427777777775</v>
      </c>
      <c r="K179">
        <f t="shared" si="19"/>
        <v>7</v>
      </c>
      <c r="L179">
        <v>2025</v>
      </c>
      <c r="M179">
        <v>2025</v>
      </c>
      <c r="N179">
        <v>2025</v>
      </c>
      <c r="O179">
        <v>2025</v>
      </c>
      <c r="P179" t="s">
        <v>28</v>
      </c>
      <c r="Q179" t="s">
        <v>29</v>
      </c>
      <c r="R179" s="2">
        <v>45625</v>
      </c>
      <c r="S179">
        <v>0</v>
      </c>
      <c r="T179" t="s">
        <v>30</v>
      </c>
      <c r="U179" t="s">
        <v>31</v>
      </c>
      <c r="V179" t="s">
        <v>71</v>
      </c>
      <c r="W179" t="s">
        <v>421</v>
      </c>
      <c r="X179" t="s">
        <v>37</v>
      </c>
      <c r="Y179" t="s">
        <v>34</v>
      </c>
      <c r="Z179" t="str">
        <f t="shared" si="20"/>
        <v>0-6</v>
      </c>
      <c r="AA179" t="s">
        <v>613</v>
      </c>
      <c r="AB179">
        <v>40</v>
      </c>
      <c r="AC179" t="str" cm="1">
        <f t="array" ref="AC179">_xlfn.SWITCH(AB179,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Nghệ An</v>
      </c>
      <c r="AD179" t="str">
        <f t="shared" si="16"/>
        <v>53.84%</v>
      </c>
      <c r="AE179" t="s">
        <v>694</v>
      </c>
      <c r="AF179" s="8">
        <f t="shared" si="17"/>
        <v>45823</v>
      </c>
      <c r="AG179" s="8">
        <f>_xlfn.XLOOKUP(AE179, Dev!$A:$A, Dev!$B:$B, "")</f>
        <v>45745.372627314813</v>
      </c>
      <c r="AH179" s="11">
        <f t="shared" si="18"/>
        <v>77.627372685186856</v>
      </c>
    </row>
    <row r="180" spans="1:34" x14ac:dyDescent="0.3">
      <c r="A180" s="1">
        <v>178</v>
      </c>
      <c r="B180" t="s">
        <v>422</v>
      </c>
      <c r="C180">
        <v>500848</v>
      </c>
      <c r="D180">
        <v>118955</v>
      </c>
      <c r="E180" s="2">
        <v>45832</v>
      </c>
      <c r="F180" s="2">
        <v>45832</v>
      </c>
      <c r="G180" t="s">
        <v>398</v>
      </c>
      <c r="H180" t="s">
        <v>423</v>
      </c>
      <c r="I180" t="s">
        <v>27</v>
      </c>
      <c r="J180" s="3">
        <v>45843.417361111111</v>
      </c>
      <c r="K180">
        <f t="shared" si="19"/>
        <v>7</v>
      </c>
      <c r="L180">
        <v>2025</v>
      </c>
      <c r="M180">
        <v>2025</v>
      </c>
      <c r="N180">
        <v>2025</v>
      </c>
      <c r="O180">
        <v>2025</v>
      </c>
      <c r="P180" t="s">
        <v>28</v>
      </c>
      <c r="Q180" t="s">
        <v>29</v>
      </c>
      <c r="R180" s="2">
        <v>45094</v>
      </c>
      <c r="S180">
        <v>2</v>
      </c>
      <c r="T180" t="s">
        <v>30</v>
      </c>
      <c r="U180" t="s">
        <v>41</v>
      </c>
      <c r="V180" t="s">
        <v>32</v>
      </c>
      <c r="W180" t="s">
        <v>423</v>
      </c>
      <c r="X180" t="s">
        <v>42</v>
      </c>
      <c r="Y180" t="s">
        <v>34</v>
      </c>
      <c r="Z180" t="str">
        <f t="shared" si="20"/>
        <v>0-6</v>
      </c>
      <c r="AA180" t="s">
        <v>611</v>
      </c>
      <c r="AB180">
        <v>79</v>
      </c>
      <c r="AC180" t="str" cm="1">
        <f t="array" ref="AC180">_xlfn.SWITCH(AB180,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80" t="str">
        <f t="shared" si="16"/>
        <v>23.75%</v>
      </c>
      <c r="AE180" t="s">
        <v>692</v>
      </c>
      <c r="AF180" s="8">
        <f t="shared" si="17"/>
        <v>45832</v>
      </c>
      <c r="AG180" s="8">
        <f>_xlfn.XLOOKUP(AE180, Dev!$A:$A, Dev!$B:$B, "")</f>
        <v>45641</v>
      </c>
      <c r="AH180" s="11">
        <f t="shared" si="18"/>
        <v>191</v>
      </c>
    </row>
    <row r="181" spans="1:34" x14ac:dyDescent="0.3">
      <c r="A181" s="1">
        <v>179</v>
      </c>
      <c r="B181" t="s">
        <v>424</v>
      </c>
      <c r="C181">
        <v>553676</v>
      </c>
      <c r="D181">
        <v>553676</v>
      </c>
      <c r="E181" s="2">
        <v>45840</v>
      </c>
      <c r="F181" s="2">
        <v>45840</v>
      </c>
      <c r="G181" t="s">
        <v>67</v>
      </c>
      <c r="H181" t="s">
        <v>425</v>
      </c>
      <c r="I181" t="s">
        <v>27</v>
      </c>
      <c r="J181" s="3">
        <v>45842.681250000001</v>
      </c>
      <c r="K181">
        <f t="shared" si="19"/>
        <v>7</v>
      </c>
      <c r="L181">
        <v>2025</v>
      </c>
      <c r="M181">
        <v>2025</v>
      </c>
      <c r="N181">
        <v>2025</v>
      </c>
      <c r="O181">
        <v>2025</v>
      </c>
      <c r="P181" t="s">
        <v>28</v>
      </c>
      <c r="Q181" t="s">
        <v>29</v>
      </c>
      <c r="R181" s="2">
        <v>45609</v>
      </c>
      <c r="S181">
        <v>0</v>
      </c>
      <c r="T181" t="s">
        <v>30</v>
      </c>
      <c r="U181" t="s">
        <v>41</v>
      </c>
      <c r="V181" t="s">
        <v>32</v>
      </c>
      <c r="W181" t="s">
        <v>528</v>
      </c>
      <c r="X181" t="s">
        <v>33</v>
      </c>
      <c r="Y181" t="s">
        <v>34</v>
      </c>
      <c r="Z181" t="str">
        <f t="shared" si="20"/>
        <v>0-6</v>
      </c>
      <c r="AA181" t="s">
        <v>567</v>
      </c>
      <c r="AB181">
        <v>75</v>
      </c>
      <c r="AC181" t="str" cm="1">
        <f t="array" ref="AC181">_xlfn.SWITCH(AB181,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81" t="str">
        <f t="shared" si="16"/>
        <v>100%</v>
      </c>
      <c r="AE181" t="s">
        <v>648</v>
      </c>
      <c r="AF181" s="8">
        <f t="shared" si="17"/>
        <v>45840</v>
      </c>
      <c r="AG181" s="8">
        <f>_xlfn.XLOOKUP(AE181, Dev!$A:$A, Dev!$B:$B, "")</f>
        <v>45729.416770833333</v>
      </c>
      <c r="AH181" s="11">
        <f t="shared" si="18"/>
        <v>110.58322916666657</v>
      </c>
    </row>
    <row r="182" spans="1:34" x14ac:dyDescent="0.3">
      <c r="A182" s="1">
        <v>180</v>
      </c>
      <c r="B182" t="s">
        <v>426</v>
      </c>
      <c r="C182">
        <v>1862000</v>
      </c>
      <c r="D182">
        <v>1161631</v>
      </c>
      <c r="E182" s="2">
        <v>45837</v>
      </c>
      <c r="F182" s="2">
        <v>45837</v>
      </c>
      <c r="G182" t="s">
        <v>46</v>
      </c>
      <c r="H182" t="s">
        <v>220</v>
      </c>
      <c r="I182" t="s">
        <v>27</v>
      </c>
      <c r="J182" s="3">
        <v>45841.736805555556</v>
      </c>
      <c r="K182">
        <f t="shared" si="19"/>
        <v>7</v>
      </c>
      <c r="L182">
        <v>2025</v>
      </c>
      <c r="M182">
        <v>2025</v>
      </c>
      <c r="N182">
        <v>2025</v>
      </c>
      <c r="O182">
        <v>2025</v>
      </c>
      <c r="P182" t="s">
        <v>28</v>
      </c>
      <c r="Q182" t="s">
        <v>29</v>
      </c>
      <c r="R182" s="2">
        <v>45551</v>
      </c>
      <c r="S182">
        <v>1</v>
      </c>
      <c r="T182" t="s">
        <v>30</v>
      </c>
      <c r="U182" t="s">
        <v>41</v>
      </c>
      <c r="V182" t="s">
        <v>32</v>
      </c>
      <c r="W182" t="s">
        <v>83</v>
      </c>
      <c r="X182" t="s">
        <v>33</v>
      </c>
      <c r="Y182" t="s">
        <v>34</v>
      </c>
      <c r="Z182" t="str">
        <f t="shared" si="20"/>
        <v>0-6</v>
      </c>
      <c r="AA182" t="s">
        <v>590</v>
      </c>
      <c r="AB182">
        <v>1</v>
      </c>
      <c r="AC182" t="str" cm="1">
        <f t="array" ref="AC182">_xlfn.SWITCH(AB182,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82" t="str">
        <f t="shared" si="16"/>
        <v>62.39%</v>
      </c>
      <c r="AE182" t="s">
        <v>671</v>
      </c>
      <c r="AF182" s="8">
        <f t="shared" si="17"/>
        <v>45837</v>
      </c>
      <c r="AG182" s="8">
        <f>_xlfn.XLOOKUP(AE182, Dev!$A:$A, Dev!$B:$B, "")</f>
        <v>45751.516053240739</v>
      </c>
      <c r="AH182" s="11">
        <f t="shared" si="18"/>
        <v>85.483946759261016</v>
      </c>
    </row>
    <row r="183" spans="1:34" x14ac:dyDescent="0.3">
      <c r="A183" s="1">
        <v>181</v>
      </c>
      <c r="B183" t="s">
        <v>427</v>
      </c>
      <c r="C183">
        <v>1134000</v>
      </c>
      <c r="D183">
        <v>1200000</v>
      </c>
      <c r="E183" s="2">
        <v>45833</v>
      </c>
      <c r="F183" s="2">
        <v>45833</v>
      </c>
      <c r="G183" t="s">
        <v>46</v>
      </c>
      <c r="H183" t="s">
        <v>428</v>
      </c>
      <c r="I183" t="s">
        <v>27</v>
      </c>
      <c r="J183" s="3">
        <v>45841.584722222222</v>
      </c>
      <c r="K183">
        <f t="shared" si="19"/>
        <v>7</v>
      </c>
      <c r="L183">
        <v>2025</v>
      </c>
      <c r="M183">
        <v>2025</v>
      </c>
      <c r="N183">
        <v>2025</v>
      </c>
      <c r="O183">
        <v>2025</v>
      </c>
      <c r="P183" t="s">
        <v>28</v>
      </c>
      <c r="Q183" t="s">
        <v>29</v>
      </c>
      <c r="R183" s="2">
        <v>45750</v>
      </c>
      <c r="S183">
        <v>0</v>
      </c>
      <c r="T183" t="s">
        <v>30</v>
      </c>
      <c r="U183" t="s">
        <v>31</v>
      </c>
      <c r="V183" t="s">
        <v>32</v>
      </c>
      <c r="W183" t="s">
        <v>529</v>
      </c>
      <c r="X183" t="s">
        <v>42</v>
      </c>
      <c r="Y183" t="s">
        <v>34</v>
      </c>
      <c r="Z183" t="str">
        <f t="shared" si="20"/>
        <v>0-6</v>
      </c>
      <c r="AA183" t="s">
        <v>572</v>
      </c>
      <c r="AB183">
        <v>38</v>
      </c>
      <c r="AC183" t="str" cm="1">
        <f t="array" ref="AC183">_xlfn.SWITCH(AB183,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Thanh Hoá</v>
      </c>
      <c r="AD183" t="str">
        <f t="shared" si="16"/>
        <v>105.82%</v>
      </c>
      <c r="AE183" t="s">
        <v>653</v>
      </c>
      <c r="AF183" s="8">
        <f t="shared" si="17"/>
        <v>45833</v>
      </c>
      <c r="AG183" s="8">
        <f>_xlfn.XLOOKUP(AE183, Dev!$A:$A, Dev!$B:$B, "")</f>
        <v>45781.452673611115</v>
      </c>
      <c r="AH183" s="11">
        <f t="shared" si="18"/>
        <v>51.547326388885267</v>
      </c>
    </row>
    <row r="184" spans="1:34" x14ac:dyDescent="0.3">
      <c r="A184" s="1">
        <v>182</v>
      </c>
      <c r="B184" t="s">
        <v>429</v>
      </c>
      <c r="C184">
        <v>1265000</v>
      </c>
      <c r="D184">
        <v>494852</v>
      </c>
      <c r="E184" s="2">
        <v>45840</v>
      </c>
      <c r="F184" s="2">
        <v>45840</v>
      </c>
      <c r="G184" t="s">
        <v>25</v>
      </c>
      <c r="H184" t="s">
        <v>430</v>
      </c>
      <c r="I184" t="s">
        <v>27</v>
      </c>
      <c r="J184" s="3">
        <v>45841.444444444445</v>
      </c>
      <c r="K184">
        <f t="shared" si="19"/>
        <v>7</v>
      </c>
      <c r="L184">
        <v>2025</v>
      </c>
      <c r="M184">
        <v>2025</v>
      </c>
      <c r="N184">
        <v>2025</v>
      </c>
      <c r="O184">
        <v>2025</v>
      </c>
      <c r="P184" t="s">
        <v>28</v>
      </c>
      <c r="Q184" t="s">
        <v>29</v>
      </c>
      <c r="R184" s="2">
        <v>45480</v>
      </c>
      <c r="S184">
        <v>1</v>
      </c>
      <c r="T184" t="s">
        <v>30</v>
      </c>
      <c r="U184" t="s">
        <v>41</v>
      </c>
      <c r="V184" t="s">
        <v>71</v>
      </c>
      <c r="W184" t="s">
        <v>530</v>
      </c>
      <c r="X184" t="s">
        <v>33</v>
      </c>
      <c r="Y184" t="s">
        <v>34</v>
      </c>
      <c r="Z184" t="str">
        <f t="shared" si="20"/>
        <v>0-6</v>
      </c>
      <c r="AA184" t="s">
        <v>585</v>
      </c>
      <c r="AB184">
        <v>79</v>
      </c>
      <c r="AC184" t="str" cm="1">
        <f t="array" ref="AC184">_xlfn.SWITCH(AB184,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84" t="str">
        <f t="shared" si="16"/>
        <v>39.12%</v>
      </c>
      <c r="AE184" t="s">
        <v>666</v>
      </c>
      <c r="AF184" s="8">
        <f t="shared" si="17"/>
        <v>45840</v>
      </c>
      <c r="AG184" s="8">
        <f>_xlfn.XLOOKUP(AE184, Dev!$A:$A, Dev!$B:$B, "")</f>
        <v>45708</v>
      </c>
      <c r="AH184" s="11">
        <f t="shared" si="18"/>
        <v>132</v>
      </c>
    </row>
    <row r="185" spans="1:34" x14ac:dyDescent="0.3">
      <c r="A185" s="1">
        <v>183</v>
      </c>
      <c r="B185" t="s">
        <v>431</v>
      </c>
      <c r="C185">
        <v>867500</v>
      </c>
      <c r="D185">
        <v>594000</v>
      </c>
      <c r="E185" s="2">
        <v>45803</v>
      </c>
      <c r="F185" s="2">
        <v>45803</v>
      </c>
      <c r="G185" t="s">
        <v>432</v>
      </c>
      <c r="H185" t="s">
        <v>433</v>
      </c>
      <c r="I185" t="s">
        <v>27</v>
      </c>
      <c r="J185" s="3">
        <v>45841.413194444445</v>
      </c>
      <c r="K185">
        <f t="shared" si="19"/>
        <v>7</v>
      </c>
      <c r="L185">
        <v>2025</v>
      </c>
      <c r="M185">
        <v>2025</v>
      </c>
      <c r="N185">
        <v>2025</v>
      </c>
      <c r="O185">
        <v>2025</v>
      </c>
      <c r="P185" t="s">
        <v>28</v>
      </c>
      <c r="Q185" t="s">
        <v>29</v>
      </c>
      <c r="R185" s="2">
        <v>45068</v>
      </c>
      <c r="S185">
        <v>2</v>
      </c>
      <c r="T185" t="s">
        <v>30</v>
      </c>
      <c r="U185" t="s">
        <v>31</v>
      </c>
      <c r="V185" t="s">
        <v>32</v>
      </c>
      <c r="W185" t="s">
        <v>531</v>
      </c>
      <c r="X185" t="s">
        <v>42</v>
      </c>
      <c r="Y185" t="s">
        <v>34</v>
      </c>
      <c r="Z185" t="str">
        <f t="shared" si="20"/>
        <v>0-6</v>
      </c>
      <c r="AA185" t="s">
        <v>614</v>
      </c>
      <c r="AB185">
        <v>1</v>
      </c>
      <c r="AC185" t="str" cm="1">
        <f t="array" ref="AC185">_xlfn.SWITCH(AB185,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85" t="str">
        <f t="shared" si="16"/>
        <v>68.47%</v>
      </c>
      <c r="AE185" t="s">
        <v>695</v>
      </c>
      <c r="AF185" s="8">
        <f t="shared" si="17"/>
        <v>45803</v>
      </c>
      <c r="AG185" s="8">
        <f>_xlfn.XLOOKUP(AE185, Dev!$A:$A, Dev!$B:$B, "")</f>
        <v>45507.538402777776</v>
      </c>
      <c r="AH185" s="11">
        <f t="shared" si="18"/>
        <v>295.46159722222365</v>
      </c>
    </row>
    <row r="186" spans="1:34" x14ac:dyDescent="0.3">
      <c r="A186" s="1">
        <v>184</v>
      </c>
      <c r="B186" t="s">
        <v>434</v>
      </c>
      <c r="C186">
        <v>1510000</v>
      </c>
      <c r="D186">
        <v>960000</v>
      </c>
      <c r="E186" s="2">
        <v>45798</v>
      </c>
      <c r="F186" s="2">
        <v>45798</v>
      </c>
      <c r="G186" t="s">
        <v>432</v>
      </c>
      <c r="H186" t="s">
        <v>435</v>
      </c>
      <c r="I186" t="s">
        <v>27</v>
      </c>
      <c r="J186" s="3">
        <v>45841.40625</v>
      </c>
      <c r="K186">
        <f t="shared" si="19"/>
        <v>7</v>
      </c>
      <c r="L186">
        <v>2025</v>
      </c>
      <c r="M186">
        <v>2025</v>
      </c>
      <c r="N186">
        <v>2025</v>
      </c>
      <c r="O186">
        <v>2025</v>
      </c>
      <c r="P186" t="s">
        <v>28</v>
      </c>
      <c r="Q186" t="s">
        <v>29</v>
      </c>
      <c r="R186" s="2">
        <v>45068</v>
      </c>
      <c r="S186">
        <v>2</v>
      </c>
      <c r="T186" t="s">
        <v>30</v>
      </c>
      <c r="U186" t="s">
        <v>31</v>
      </c>
      <c r="V186" t="s">
        <v>32</v>
      </c>
      <c r="W186" t="s">
        <v>532</v>
      </c>
      <c r="X186" t="s">
        <v>33</v>
      </c>
      <c r="Y186" t="s">
        <v>34</v>
      </c>
      <c r="Z186" t="str">
        <f t="shared" si="20"/>
        <v>0-6</v>
      </c>
      <c r="AA186" t="s">
        <v>614</v>
      </c>
      <c r="AB186">
        <v>1</v>
      </c>
      <c r="AC186" t="str" cm="1">
        <f t="array" ref="AC186">_xlfn.SWITCH(AB186,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86" t="str">
        <f t="shared" si="16"/>
        <v>63.58%</v>
      </c>
      <c r="AE186" t="s">
        <v>695</v>
      </c>
      <c r="AF186" s="8">
        <f t="shared" si="17"/>
        <v>45798</v>
      </c>
      <c r="AG186" s="8">
        <f>_xlfn.XLOOKUP(AE186, Dev!$A:$A, Dev!$B:$B, "")</f>
        <v>45507.538402777776</v>
      </c>
      <c r="AH186" s="11">
        <f t="shared" si="18"/>
        <v>290.46159722222365</v>
      </c>
    </row>
    <row r="187" spans="1:34" x14ac:dyDescent="0.3">
      <c r="A187" s="1">
        <v>185</v>
      </c>
      <c r="B187" t="s">
        <v>436</v>
      </c>
      <c r="C187">
        <v>364880</v>
      </c>
      <c r="D187">
        <v>359880</v>
      </c>
      <c r="E187" s="2">
        <v>45836</v>
      </c>
      <c r="F187" s="2">
        <v>45836</v>
      </c>
      <c r="G187" t="s">
        <v>67</v>
      </c>
      <c r="H187" t="s">
        <v>437</v>
      </c>
      <c r="I187" t="s">
        <v>27</v>
      </c>
      <c r="J187" s="3">
        <v>45841.402777777781</v>
      </c>
      <c r="K187">
        <f t="shared" si="19"/>
        <v>7</v>
      </c>
      <c r="L187">
        <v>2025</v>
      </c>
      <c r="M187">
        <v>2025</v>
      </c>
      <c r="N187">
        <v>2025</v>
      </c>
      <c r="O187">
        <v>2025</v>
      </c>
      <c r="P187" t="s">
        <v>28</v>
      </c>
      <c r="Q187" t="s">
        <v>29</v>
      </c>
      <c r="R187" s="2">
        <v>45609</v>
      </c>
      <c r="S187">
        <v>0</v>
      </c>
      <c r="T187" t="s">
        <v>30</v>
      </c>
      <c r="U187" t="s">
        <v>41</v>
      </c>
      <c r="V187" t="s">
        <v>32</v>
      </c>
      <c r="W187" t="s">
        <v>533</v>
      </c>
      <c r="X187" t="s">
        <v>180</v>
      </c>
      <c r="Y187" t="s">
        <v>34</v>
      </c>
      <c r="Z187" t="str">
        <f t="shared" si="20"/>
        <v>0-6</v>
      </c>
      <c r="AA187" t="s">
        <v>567</v>
      </c>
      <c r="AB187">
        <v>75</v>
      </c>
      <c r="AC187" t="str" cm="1">
        <f t="array" ref="AC187">_xlfn.SWITCH(AB187,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87" t="str">
        <f t="shared" si="16"/>
        <v>98.63%</v>
      </c>
      <c r="AE187" t="s">
        <v>648</v>
      </c>
      <c r="AF187" s="8">
        <f t="shared" si="17"/>
        <v>45836</v>
      </c>
      <c r="AG187" s="8">
        <f>_xlfn.XLOOKUP(AE187, Dev!$A:$A, Dev!$B:$B, "")</f>
        <v>45729.416770833333</v>
      </c>
      <c r="AH187" s="11">
        <f t="shared" si="18"/>
        <v>106.58322916666657</v>
      </c>
    </row>
    <row r="188" spans="1:34" x14ac:dyDescent="0.3">
      <c r="A188" s="1">
        <v>186</v>
      </c>
      <c r="B188" t="s">
        <v>438</v>
      </c>
      <c r="C188">
        <v>627000</v>
      </c>
      <c r="D188">
        <v>627698</v>
      </c>
      <c r="E188" s="2">
        <v>45839</v>
      </c>
      <c r="F188" s="2">
        <v>45839</v>
      </c>
      <c r="G188" t="s">
        <v>46</v>
      </c>
      <c r="H188" t="s">
        <v>439</v>
      </c>
      <c r="I188" t="s">
        <v>27</v>
      </c>
      <c r="J188" s="3">
        <v>45841.398611111108</v>
      </c>
      <c r="K188">
        <f t="shared" si="19"/>
        <v>7</v>
      </c>
      <c r="L188">
        <v>2025</v>
      </c>
      <c r="M188">
        <v>2025</v>
      </c>
      <c r="N188">
        <v>2025</v>
      </c>
      <c r="O188">
        <v>2025</v>
      </c>
      <c r="P188" t="s">
        <v>28</v>
      </c>
      <c r="Q188" t="s">
        <v>29</v>
      </c>
      <c r="R188" s="2">
        <v>45750</v>
      </c>
      <c r="S188">
        <v>0</v>
      </c>
      <c r="T188" t="s">
        <v>30</v>
      </c>
      <c r="U188" t="s">
        <v>31</v>
      </c>
      <c r="V188" t="s">
        <v>32</v>
      </c>
      <c r="W188" t="s">
        <v>534</v>
      </c>
      <c r="X188" t="s">
        <v>78</v>
      </c>
      <c r="Y188" t="s">
        <v>34</v>
      </c>
      <c r="Z188" t="str">
        <f t="shared" si="20"/>
        <v>0-6</v>
      </c>
      <c r="AA188" t="s">
        <v>572</v>
      </c>
      <c r="AB188">
        <v>38</v>
      </c>
      <c r="AC188" t="str" cm="1">
        <f t="array" ref="AC188">_xlfn.SWITCH(AB188,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Thanh Hoá</v>
      </c>
      <c r="AD188" t="str">
        <f t="shared" si="16"/>
        <v>100.11%</v>
      </c>
      <c r="AE188" t="s">
        <v>653</v>
      </c>
      <c r="AF188" s="8">
        <f t="shared" si="17"/>
        <v>45839</v>
      </c>
      <c r="AG188" s="8">
        <f>_xlfn.XLOOKUP(AE188, Dev!$A:$A, Dev!$B:$B, "")</f>
        <v>45781.452673611115</v>
      </c>
      <c r="AH188" s="11">
        <f t="shared" si="18"/>
        <v>57.547326388885267</v>
      </c>
    </row>
    <row r="189" spans="1:34" x14ac:dyDescent="0.3">
      <c r="A189" s="1">
        <v>187</v>
      </c>
      <c r="B189" t="s">
        <v>440</v>
      </c>
      <c r="C189">
        <v>1541000</v>
      </c>
      <c r="D189">
        <v>996170</v>
      </c>
      <c r="E189" s="2">
        <v>45827</v>
      </c>
      <c r="F189" s="2">
        <v>45827</v>
      </c>
      <c r="G189" t="s">
        <v>46</v>
      </c>
      <c r="H189" t="s">
        <v>441</v>
      </c>
      <c r="I189" t="s">
        <v>27</v>
      </c>
      <c r="J189" s="3">
        <v>45841.394444444442</v>
      </c>
      <c r="K189">
        <f t="shared" si="19"/>
        <v>7</v>
      </c>
      <c r="L189">
        <v>2025</v>
      </c>
      <c r="M189">
        <v>2025</v>
      </c>
      <c r="N189">
        <v>2025</v>
      </c>
      <c r="O189">
        <v>2025</v>
      </c>
      <c r="P189" t="s">
        <v>28</v>
      </c>
      <c r="Q189" t="s">
        <v>29</v>
      </c>
      <c r="R189" s="2">
        <v>45750</v>
      </c>
      <c r="S189">
        <v>0</v>
      </c>
      <c r="T189" t="s">
        <v>30</v>
      </c>
      <c r="U189" t="s">
        <v>31</v>
      </c>
      <c r="V189" t="s">
        <v>32</v>
      </c>
      <c r="W189" t="s">
        <v>535</v>
      </c>
      <c r="X189" t="s">
        <v>42</v>
      </c>
      <c r="Y189" t="s">
        <v>34</v>
      </c>
      <c r="Z189" t="str">
        <f t="shared" si="20"/>
        <v>0-6</v>
      </c>
      <c r="AA189" t="s">
        <v>572</v>
      </c>
      <c r="AB189">
        <v>38</v>
      </c>
      <c r="AC189" t="str" cm="1">
        <f t="array" ref="AC189">_xlfn.SWITCH(AB189,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Thanh Hoá</v>
      </c>
      <c r="AD189" t="str">
        <f t="shared" si="16"/>
        <v>64.64%</v>
      </c>
      <c r="AE189" t="s">
        <v>653</v>
      </c>
      <c r="AF189" s="8">
        <f t="shared" si="17"/>
        <v>45827</v>
      </c>
      <c r="AG189" s="8">
        <f>_xlfn.XLOOKUP(AE189, Dev!$A:$A, Dev!$B:$B, "")</f>
        <v>45781.452673611115</v>
      </c>
      <c r="AH189" s="11">
        <f t="shared" si="18"/>
        <v>45.547326388885267</v>
      </c>
    </row>
  </sheetData>
  <autoFilter ref="A1:Z189"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7A87-2A33-41D4-8828-7B2AA0A4D888}">
  <dimension ref="A1:B156"/>
  <sheetViews>
    <sheetView workbookViewId="0">
      <selection activeCell="A9" sqref="A9"/>
    </sheetView>
  </sheetViews>
  <sheetFormatPr defaultRowHeight="14.4" x14ac:dyDescent="0.3"/>
  <cols>
    <col min="1" max="1" width="33.6640625" bestFit="1" customWidth="1"/>
    <col min="2" max="2" width="15.44140625" style="8" bestFit="1" customWidth="1"/>
  </cols>
  <sheetData>
    <row r="1" spans="1:2" x14ac:dyDescent="0.3">
      <c r="A1" s="5" t="s">
        <v>696</v>
      </c>
      <c r="B1" s="9" t="s">
        <v>697</v>
      </c>
    </row>
    <row r="2" spans="1:2" x14ac:dyDescent="0.3">
      <c r="A2" t="s">
        <v>699</v>
      </c>
      <c r="B2" s="8">
        <v>45477</v>
      </c>
    </row>
    <row r="3" spans="1:2" x14ac:dyDescent="0.3">
      <c r="A3" t="s">
        <v>700</v>
      </c>
      <c r="B3" s="8">
        <v>45141.620833333334</v>
      </c>
    </row>
    <row r="4" spans="1:2" x14ac:dyDescent="0.3">
      <c r="A4" t="s">
        <v>668</v>
      </c>
      <c r="B4" s="8">
        <v>45762.554652777777</v>
      </c>
    </row>
    <row r="5" spans="1:2" x14ac:dyDescent="0.3">
      <c r="A5" t="s">
        <v>701</v>
      </c>
      <c r="B5" s="8">
        <v>45544</v>
      </c>
    </row>
    <row r="6" spans="1:2" x14ac:dyDescent="0.3">
      <c r="A6" t="s">
        <v>702</v>
      </c>
      <c r="B6" s="8">
        <v>45304.631944444445</v>
      </c>
    </row>
    <row r="7" spans="1:2" x14ac:dyDescent="0.3">
      <c r="A7" t="s">
        <v>703</v>
      </c>
      <c r="B7" s="8">
        <v>45017</v>
      </c>
    </row>
    <row r="8" spans="1:2" x14ac:dyDescent="0.3">
      <c r="A8" t="s">
        <v>632</v>
      </c>
      <c r="B8" s="8">
        <v>45706.477743055555</v>
      </c>
    </row>
    <row r="9" spans="1:2" x14ac:dyDescent="0.3">
      <c r="A9" t="s">
        <v>618</v>
      </c>
      <c r="B9" s="8">
        <v>45875.575844907406</v>
      </c>
    </row>
    <row r="10" spans="1:2" x14ac:dyDescent="0.3">
      <c r="A10" t="s">
        <v>679</v>
      </c>
      <c r="B10" s="8">
        <v>45754.712905092594</v>
      </c>
    </row>
    <row r="11" spans="1:2" x14ac:dyDescent="0.3">
      <c r="A11" t="s">
        <v>704</v>
      </c>
      <c r="B11" s="8">
        <v>45087</v>
      </c>
    </row>
    <row r="12" spans="1:2" x14ac:dyDescent="0.3">
      <c r="A12" t="s">
        <v>705</v>
      </c>
      <c r="B12" s="8">
        <v>45542.471666666665</v>
      </c>
    </row>
    <row r="13" spans="1:2" x14ac:dyDescent="0.3">
      <c r="A13" t="s">
        <v>669</v>
      </c>
      <c r="B13" s="8">
        <v>45727.475266203706</v>
      </c>
    </row>
    <row r="14" spans="1:2" x14ac:dyDescent="0.3">
      <c r="A14" t="s">
        <v>706</v>
      </c>
      <c r="B14" s="8">
        <v>45270.33734953704</v>
      </c>
    </row>
    <row r="15" spans="1:2" x14ac:dyDescent="0.3">
      <c r="A15" t="s">
        <v>707</v>
      </c>
      <c r="B15" s="8">
        <v>45736.429988425924</v>
      </c>
    </row>
    <row r="16" spans="1:2" x14ac:dyDescent="0.3">
      <c r="A16" t="s">
        <v>708</v>
      </c>
      <c r="B16" s="8">
        <v>45771.62090277778</v>
      </c>
    </row>
    <row r="17" spans="1:2" x14ac:dyDescent="0.3">
      <c r="A17" t="s">
        <v>628</v>
      </c>
      <c r="B17" s="8">
        <v>45748.820972222224</v>
      </c>
    </row>
    <row r="18" spans="1:2" x14ac:dyDescent="0.3">
      <c r="A18" t="s">
        <v>709</v>
      </c>
      <c r="B18" s="8">
        <v>45311.455092592594</v>
      </c>
    </row>
    <row r="19" spans="1:2" x14ac:dyDescent="0.3">
      <c r="A19" t="s">
        <v>710</v>
      </c>
      <c r="B19" s="8">
        <v>45763.440081018518</v>
      </c>
    </row>
    <row r="20" spans="1:2" x14ac:dyDescent="0.3">
      <c r="A20" t="s">
        <v>711</v>
      </c>
      <c r="B20" s="8">
        <v>45221.434687499997</v>
      </c>
    </row>
    <row r="21" spans="1:2" x14ac:dyDescent="0.3">
      <c r="A21" t="s">
        <v>712</v>
      </c>
      <c r="B21" s="8">
        <v>45645.592222222222</v>
      </c>
    </row>
    <row r="22" spans="1:2" x14ac:dyDescent="0.3">
      <c r="A22" t="s">
        <v>713</v>
      </c>
      <c r="B22" s="8">
        <v>45126.554062499999</v>
      </c>
    </row>
    <row r="23" spans="1:2" x14ac:dyDescent="0.3">
      <c r="A23" t="s">
        <v>714</v>
      </c>
      <c r="B23" s="8">
        <v>45711.892789351848</v>
      </c>
    </row>
    <row r="24" spans="1:2" x14ac:dyDescent="0.3">
      <c r="A24" t="s">
        <v>655</v>
      </c>
      <c r="B24" s="8">
        <v>45809.805509259262</v>
      </c>
    </row>
    <row r="25" spans="1:2" x14ac:dyDescent="0.3">
      <c r="A25" s="10" t="s">
        <v>676</v>
      </c>
      <c r="B25" s="8">
        <v>45505.385104166664</v>
      </c>
    </row>
    <row r="26" spans="1:2" x14ac:dyDescent="0.3">
      <c r="A26" t="s">
        <v>715</v>
      </c>
      <c r="B26" s="8">
        <v>45658</v>
      </c>
    </row>
    <row r="27" spans="1:2" x14ac:dyDescent="0.3">
      <c r="A27" t="s">
        <v>716</v>
      </c>
      <c r="B27" s="8">
        <v>45505.584837962961</v>
      </c>
    </row>
    <row r="28" spans="1:2" x14ac:dyDescent="0.3">
      <c r="A28" t="s">
        <v>623</v>
      </c>
      <c r="B28" s="8">
        <v>45797.886423611111</v>
      </c>
    </row>
    <row r="29" spans="1:2" x14ac:dyDescent="0.3">
      <c r="A29" s="10" t="s">
        <v>717</v>
      </c>
      <c r="B29" s="8">
        <v>45125.693483796298</v>
      </c>
    </row>
    <row r="30" spans="1:2" x14ac:dyDescent="0.3">
      <c r="A30" t="s">
        <v>718</v>
      </c>
      <c r="B30" s="8">
        <v>45281.661099537036</v>
      </c>
    </row>
    <row r="31" spans="1:2" x14ac:dyDescent="0.3">
      <c r="A31" t="s">
        <v>626</v>
      </c>
      <c r="B31" s="8">
        <v>45700.542974537035</v>
      </c>
    </row>
    <row r="32" spans="1:2" x14ac:dyDescent="0.3">
      <c r="A32" t="s">
        <v>719</v>
      </c>
      <c r="B32" s="8">
        <v>45429</v>
      </c>
    </row>
    <row r="33" spans="1:2" x14ac:dyDescent="0.3">
      <c r="A33" t="s">
        <v>661</v>
      </c>
      <c r="B33" s="8">
        <v>45600.475682870368</v>
      </c>
    </row>
    <row r="34" spans="1:2" x14ac:dyDescent="0.3">
      <c r="A34" t="s">
        <v>646</v>
      </c>
      <c r="B34" s="8">
        <v>45612</v>
      </c>
    </row>
    <row r="35" spans="1:2" x14ac:dyDescent="0.3">
      <c r="A35" s="10" t="s">
        <v>680</v>
      </c>
      <c r="B35" s="8">
        <v>45769.478807870371</v>
      </c>
    </row>
    <row r="36" spans="1:2" x14ac:dyDescent="0.3">
      <c r="A36" t="s">
        <v>641</v>
      </c>
      <c r="B36" s="8">
        <v>45740.808923611112</v>
      </c>
    </row>
    <row r="37" spans="1:2" x14ac:dyDescent="0.3">
      <c r="A37" t="s">
        <v>720</v>
      </c>
      <c r="B37" s="8">
        <v>45445</v>
      </c>
    </row>
    <row r="38" spans="1:2" x14ac:dyDescent="0.3">
      <c r="A38" t="s">
        <v>665</v>
      </c>
      <c r="B38" s="8">
        <v>45590.628159722219</v>
      </c>
    </row>
    <row r="39" spans="1:2" x14ac:dyDescent="0.3">
      <c r="A39" t="s">
        <v>689</v>
      </c>
      <c r="B39" s="8">
        <v>45743</v>
      </c>
    </row>
    <row r="40" spans="1:2" x14ac:dyDescent="0.3">
      <c r="A40" t="s">
        <v>721</v>
      </c>
      <c r="B40" s="8">
        <v>45489.400520833333</v>
      </c>
    </row>
    <row r="41" spans="1:2" x14ac:dyDescent="0.3">
      <c r="A41" t="s">
        <v>631</v>
      </c>
      <c r="B41" s="8">
        <v>45768.756631944445</v>
      </c>
    </row>
    <row r="42" spans="1:2" x14ac:dyDescent="0.3">
      <c r="A42" t="s">
        <v>634</v>
      </c>
      <c r="B42" s="8">
        <v>45745.370266203703</v>
      </c>
    </row>
    <row r="43" spans="1:2" x14ac:dyDescent="0.3">
      <c r="A43" t="s">
        <v>722</v>
      </c>
      <c r="B43" s="8">
        <v>45716.801863425928</v>
      </c>
    </row>
    <row r="44" spans="1:2" x14ac:dyDescent="0.3">
      <c r="A44" t="s">
        <v>723</v>
      </c>
      <c r="B44" s="8">
        <v>45743.670474537037</v>
      </c>
    </row>
    <row r="45" spans="1:2" x14ac:dyDescent="0.3">
      <c r="A45" t="s">
        <v>643</v>
      </c>
      <c r="B45" s="8">
        <v>45818.8905787037</v>
      </c>
    </row>
    <row r="46" spans="1:2" x14ac:dyDescent="0.3">
      <c r="A46" t="s">
        <v>656</v>
      </c>
      <c r="B46" s="8">
        <v>45710.506944444445</v>
      </c>
    </row>
    <row r="47" spans="1:2" x14ac:dyDescent="0.3">
      <c r="A47" t="s">
        <v>724</v>
      </c>
      <c r="B47" s="8">
        <v>45456.509108796294</v>
      </c>
    </row>
    <row r="48" spans="1:2" x14ac:dyDescent="0.3">
      <c r="A48" t="s">
        <v>694</v>
      </c>
      <c r="B48" s="8">
        <v>45745.372627314813</v>
      </c>
    </row>
    <row r="49" spans="1:2" x14ac:dyDescent="0.3">
      <c r="A49" t="s">
        <v>663</v>
      </c>
      <c r="B49" s="8">
        <v>45629.639224537037</v>
      </c>
    </row>
    <row r="50" spans="1:2" x14ac:dyDescent="0.3">
      <c r="A50" t="s">
        <v>659</v>
      </c>
      <c r="B50" s="8">
        <v>45582.836319444446</v>
      </c>
    </row>
    <row r="51" spans="1:2" x14ac:dyDescent="0.3">
      <c r="A51" t="s">
        <v>725</v>
      </c>
      <c r="B51" s="8">
        <v>45262</v>
      </c>
    </row>
    <row r="52" spans="1:2" x14ac:dyDescent="0.3">
      <c r="A52" t="s">
        <v>653</v>
      </c>
      <c r="B52" s="8">
        <v>45781.452673611115</v>
      </c>
    </row>
    <row r="53" spans="1:2" x14ac:dyDescent="0.3">
      <c r="A53" t="s">
        <v>726</v>
      </c>
      <c r="B53" s="8">
        <v>45487.538842592592</v>
      </c>
    </row>
    <row r="54" spans="1:2" x14ac:dyDescent="0.3">
      <c r="A54" t="s">
        <v>727</v>
      </c>
      <c r="B54" s="8">
        <v>45457.63962962963</v>
      </c>
    </row>
    <row r="55" spans="1:2" x14ac:dyDescent="0.3">
      <c r="A55" t="s">
        <v>624</v>
      </c>
      <c r="B55" s="8">
        <v>45618.507708333331</v>
      </c>
    </row>
    <row r="56" spans="1:2" x14ac:dyDescent="0.3">
      <c r="A56" t="s">
        <v>728</v>
      </c>
      <c r="B56" s="8">
        <v>45590.64334490741</v>
      </c>
    </row>
    <row r="57" spans="1:2" x14ac:dyDescent="0.3">
      <c r="A57" t="s">
        <v>729</v>
      </c>
      <c r="B57" s="8">
        <v>45453</v>
      </c>
    </row>
    <row r="58" spans="1:2" x14ac:dyDescent="0.3">
      <c r="A58" s="10" t="s">
        <v>730</v>
      </c>
      <c r="B58" s="8">
        <v>45713</v>
      </c>
    </row>
    <row r="59" spans="1:2" x14ac:dyDescent="0.3">
      <c r="A59" t="s">
        <v>731</v>
      </c>
      <c r="B59" s="8">
        <v>45079</v>
      </c>
    </row>
    <row r="60" spans="1:2" x14ac:dyDescent="0.3">
      <c r="A60" t="s">
        <v>693</v>
      </c>
      <c r="B60" s="8">
        <v>45484</v>
      </c>
    </row>
    <row r="61" spans="1:2" x14ac:dyDescent="0.3">
      <c r="A61" t="s">
        <v>732</v>
      </c>
      <c r="B61" s="8">
        <v>45760.659814814811</v>
      </c>
    </row>
    <row r="62" spans="1:2" x14ac:dyDescent="0.3">
      <c r="A62" t="s">
        <v>733</v>
      </c>
      <c r="B62" s="8">
        <v>45737.646666666667</v>
      </c>
    </row>
    <row r="63" spans="1:2" x14ac:dyDescent="0.3">
      <c r="A63" t="s">
        <v>734</v>
      </c>
      <c r="B63" s="8">
        <v>44999</v>
      </c>
    </row>
    <row r="64" spans="1:2" x14ac:dyDescent="0.3">
      <c r="A64" t="s">
        <v>620</v>
      </c>
      <c r="B64" s="8">
        <v>45818.674259259256</v>
      </c>
    </row>
    <row r="65" spans="1:2" x14ac:dyDescent="0.3">
      <c r="A65" t="s">
        <v>636</v>
      </c>
      <c r="B65" s="8">
        <v>45812.63957175926</v>
      </c>
    </row>
    <row r="66" spans="1:2" x14ac:dyDescent="0.3">
      <c r="A66" t="s">
        <v>735</v>
      </c>
      <c r="B66" s="8">
        <v>45195.699895833335</v>
      </c>
    </row>
    <row r="67" spans="1:2" x14ac:dyDescent="0.3">
      <c r="A67" t="s">
        <v>687</v>
      </c>
      <c r="B67" s="8">
        <v>45492</v>
      </c>
    </row>
    <row r="68" spans="1:2" x14ac:dyDescent="0.3">
      <c r="A68" t="s">
        <v>684</v>
      </c>
      <c r="B68" s="8">
        <v>45823.580069444448</v>
      </c>
    </row>
    <row r="69" spans="1:2" x14ac:dyDescent="0.3">
      <c r="A69" t="s">
        <v>736</v>
      </c>
      <c r="B69" s="8">
        <v>45076</v>
      </c>
    </row>
    <row r="70" spans="1:2" x14ac:dyDescent="0.3">
      <c r="A70" t="s">
        <v>737</v>
      </c>
      <c r="B70" s="8">
        <v>45639.744687500002</v>
      </c>
    </row>
    <row r="71" spans="1:2" x14ac:dyDescent="0.3">
      <c r="A71" t="s">
        <v>738</v>
      </c>
      <c r="B71" s="8">
        <v>45707.747662037036</v>
      </c>
    </row>
    <row r="72" spans="1:2" x14ac:dyDescent="0.3">
      <c r="A72" t="s">
        <v>739</v>
      </c>
      <c r="B72" s="8">
        <v>45398.578657407408</v>
      </c>
    </row>
    <row r="73" spans="1:2" x14ac:dyDescent="0.3">
      <c r="A73" t="s">
        <v>635</v>
      </c>
      <c r="B73" s="8">
        <v>45745.735625000001</v>
      </c>
    </row>
    <row r="74" spans="1:2" x14ac:dyDescent="0.3">
      <c r="A74" t="s">
        <v>642</v>
      </c>
      <c r="B74" s="8">
        <v>45559.429861111108</v>
      </c>
    </row>
    <row r="75" spans="1:2" x14ac:dyDescent="0.3">
      <c r="A75" t="s">
        <v>740</v>
      </c>
      <c r="B75" s="8">
        <v>45602.554340277777</v>
      </c>
    </row>
    <row r="76" spans="1:2" x14ac:dyDescent="0.3">
      <c r="A76" t="s">
        <v>682</v>
      </c>
      <c r="B76" s="8">
        <v>45745.495810185188</v>
      </c>
    </row>
    <row r="77" spans="1:2" x14ac:dyDescent="0.3">
      <c r="A77" t="s">
        <v>673</v>
      </c>
      <c r="B77" s="8">
        <v>45789.722129629627</v>
      </c>
    </row>
    <row r="78" spans="1:2" x14ac:dyDescent="0.3">
      <c r="A78" t="s">
        <v>637</v>
      </c>
      <c r="B78" s="8">
        <v>45749.551354166666</v>
      </c>
    </row>
    <row r="79" spans="1:2" x14ac:dyDescent="0.3">
      <c r="A79" t="s">
        <v>654</v>
      </c>
      <c r="B79" s="8">
        <v>45715.848414351851</v>
      </c>
    </row>
    <row r="80" spans="1:2" x14ac:dyDescent="0.3">
      <c r="A80" t="s">
        <v>685</v>
      </c>
      <c r="B80" s="8">
        <v>45589.49491898148</v>
      </c>
    </row>
    <row r="81" spans="1:2" x14ac:dyDescent="0.3">
      <c r="A81" s="10" t="s">
        <v>741</v>
      </c>
      <c r="B81" s="8">
        <v>45302.42596064815</v>
      </c>
    </row>
    <row r="82" spans="1:2" x14ac:dyDescent="0.3">
      <c r="A82" t="s">
        <v>638</v>
      </c>
      <c r="B82" s="8">
        <v>45718.405949074076</v>
      </c>
    </row>
    <row r="83" spans="1:2" x14ac:dyDescent="0.3">
      <c r="A83" t="s">
        <v>621</v>
      </c>
      <c r="B83" s="8">
        <v>45723.677615740744</v>
      </c>
    </row>
    <row r="84" spans="1:2" x14ac:dyDescent="0.3">
      <c r="A84" t="s">
        <v>742</v>
      </c>
      <c r="B84" s="8">
        <v>45378.931446759256</v>
      </c>
    </row>
    <row r="85" spans="1:2" x14ac:dyDescent="0.3">
      <c r="A85" t="s">
        <v>622</v>
      </c>
      <c r="B85" s="8">
        <v>45689</v>
      </c>
    </row>
    <row r="86" spans="1:2" x14ac:dyDescent="0.3">
      <c r="A86" s="10" t="s">
        <v>666</v>
      </c>
      <c r="B86" s="8">
        <v>45708</v>
      </c>
    </row>
    <row r="87" spans="1:2" x14ac:dyDescent="0.3">
      <c r="A87" t="s">
        <v>672</v>
      </c>
      <c r="B87" s="8">
        <v>45636.93854166667</v>
      </c>
    </row>
    <row r="88" spans="1:2" x14ac:dyDescent="0.3">
      <c r="A88" t="s">
        <v>683</v>
      </c>
      <c r="B88" s="8">
        <v>45822.591377314813</v>
      </c>
    </row>
    <row r="89" spans="1:2" x14ac:dyDescent="0.3">
      <c r="A89" t="s">
        <v>743</v>
      </c>
      <c r="B89" s="8">
        <v>45456</v>
      </c>
    </row>
    <row r="90" spans="1:2" x14ac:dyDescent="0.3">
      <c r="A90" t="s">
        <v>744</v>
      </c>
      <c r="B90" s="8">
        <v>45111.446886574071</v>
      </c>
    </row>
    <row r="91" spans="1:2" x14ac:dyDescent="0.3">
      <c r="A91" t="s">
        <v>745</v>
      </c>
      <c r="B91" s="8">
        <v>45118.617152777777</v>
      </c>
    </row>
    <row r="92" spans="1:2" x14ac:dyDescent="0.3">
      <c r="A92" t="s">
        <v>681</v>
      </c>
      <c r="B92" s="8">
        <v>45809.488657407404</v>
      </c>
    </row>
    <row r="93" spans="1:2" x14ac:dyDescent="0.3">
      <c r="A93" t="s">
        <v>690</v>
      </c>
      <c r="B93" s="8">
        <v>45713.689409722225</v>
      </c>
    </row>
    <row r="94" spans="1:2" x14ac:dyDescent="0.3">
      <c r="A94" t="s">
        <v>675</v>
      </c>
      <c r="B94" s="8">
        <v>45722.751307870371</v>
      </c>
    </row>
    <row r="95" spans="1:2" x14ac:dyDescent="0.3">
      <c r="A95" t="s">
        <v>746</v>
      </c>
      <c r="B95" s="8">
        <v>45528</v>
      </c>
    </row>
    <row r="96" spans="1:2" x14ac:dyDescent="0.3">
      <c r="A96" t="s">
        <v>747</v>
      </c>
      <c r="B96" s="8">
        <v>45482.599050925928</v>
      </c>
    </row>
    <row r="97" spans="1:2" x14ac:dyDescent="0.3">
      <c r="A97" t="s">
        <v>688</v>
      </c>
      <c r="B97" s="8">
        <v>45561</v>
      </c>
    </row>
    <row r="98" spans="1:2" x14ac:dyDescent="0.3">
      <c r="A98" t="s">
        <v>748</v>
      </c>
      <c r="B98" s="8">
        <v>45622.610879629632</v>
      </c>
    </row>
    <row r="99" spans="1:2" x14ac:dyDescent="0.3">
      <c r="A99" t="s">
        <v>645</v>
      </c>
      <c r="B99" s="8">
        <v>45612</v>
      </c>
    </row>
    <row r="100" spans="1:2" x14ac:dyDescent="0.3">
      <c r="A100" t="s">
        <v>749</v>
      </c>
      <c r="B100" s="8">
        <v>45614.357106481482</v>
      </c>
    </row>
    <row r="101" spans="1:2" x14ac:dyDescent="0.3">
      <c r="A101" t="s">
        <v>750</v>
      </c>
      <c r="B101" s="8">
        <v>45614.693611111114</v>
      </c>
    </row>
    <row r="102" spans="1:2" x14ac:dyDescent="0.3">
      <c r="A102" t="s">
        <v>658</v>
      </c>
      <c r="B102" s="8">
        <v>45710.518067129633</v>
      </c>
    </row>
    <row r="103" spans="1:2" x14ac:dyDescent="0.3">
      <c r="A103" t="s">
        <v>630</v>
      </c>
      <c r="B103" s="8">
        <v>45784.413310185184</v>
      </c>
    </row>
    <row r="104" spans="1:2" x14ac:dyDescent="0.3">
      <c r="A104" t="s">
        <v>751</v>
      </c>
      <c r="B104" s="8">
        <v>45246.567349537036</v>
      </c>
    </row>
    <row r="105" spans="1:2" x14ac:dyDescent="0.3">
      <c r="A105" t="s">
        <v>752</v>
      </c>
      <c r="B105" s="8">
        <v>45197</v>
      </c>
    </row>
    <row r="106" spans="1:2" x14ac:dyDescent="0.3">
      <c r="A106" t="s">
        <v>648</v>
      </c>
      <c r="B106" s="8">
        <v>45729.416770833333</v>
      </c>
    </row>
    <row r="107" spans="1:2" x14ac:dyDescent="0.3">
      <c r="A107" t="s">
        <v>753</v>
      </c>
      <c r="B107" s="8">
        <v>45617</v>
      </c>
    </row>
    <row r="108" spans="1:2" x14ac:dyDescent="0.3">
      <c r="A108" t="s">
        <v>754</v>
      </c>
      <c r="B108" s="8">
        <v>45190.412824074076</v>
      </c>
    </row>
    <row r="109" spans="1:2" x14ac:dyDescent="0.3">
      <c r="A109" t="s">
        <v>625</v>
      </c>
      <c r="B109" s="8">
        <v>45631</v>
      </c>
    </row>
    <row r="110" spans="1:2" x14ac:dyDescent="0.3">
      <c r="A110" t="s">
        <v>755</v>
      </c>
      <c r="B110" s="8">
        <v>45135.658738425926</v>
      </c>
    </row>
    <row r="111" spans="1:2" x14ac:dyDescent="0.3">
      <c r="A111" t="s">
        <v>695</v>
      </c>
      <c r="B111" s="8">
        <v>45507.538402777776</v>
      </c>
    </row>
    <row r="112" spans="1:2" x14ac:dyDescent="0.3">
      <c r="A112" t="s">
        <v>756</v>
      </c>
      <c r="B112" s="8">
        <v>45437.690972222219</v>
      </c>
    </row>
    <row r="113" spans="1:2" x14ac:dyDescent="0.3">
      <c r="A113" t="s">
        <v>757</v>
      </c>
      <c r="B113" s="8">
        <v>45735.367928240739</v>
      </c>
    </row>
    <row r="114" spans="1:2" x14ac:dyDescent="0.3">
      <c r="A114" t="s">
        <v>758</v>
      </c>
      <c r="B114" s="8">
        <v>45361</v>
      </c>
    </row>
    <row r="115" spans="1:2" x14ac:dyDescent="0.3">
      <c r="A115" t="s">
        <v>759</v>
      </c>
      <c r="B115" s="8">
        <v>45616.433078703703</v>
      </c>
    </row>
    <row r="116" spans="1:2" x14ac:dyDescent="0.3">
      <c r="A116" t="s">
        <v>670</v>
      </c>
      <c r="B116" s="8">
        <v>45769.741736111115</v>
      </c>
    </row>
    <row r="117" spans="1:2" x14ac:dyDescent="0.3">
      <c r="A117" t="s">
        <v>760</v>
      </c>
      <c r="B117" s="8">
        <v>45755.455231481479</v>
      </c>
    </row>
    <row r="118" spans="1:2" x14ac:dyDescent="0.3">
      <c r="A118" t="s">
        <v>667</v>
      </c>
      <c r="B118" s="8">
        <v>45684.657766203702</v>
      </c>
    </row>
    <row r="119" spans="1:2" x14ac:dyDescent="0.3">
      <c r="A119" t="s">
        <v>639</v>
      </c>
      <c r="B119" s="8">
        <v>45680.692175925928</v>
      </c>
    </row>
    <row r="120" spans="1:2" x14ac:dyDescent="0.3">
      <c r="A120" t="s">
        <v>761</v>
      </c>
      <c r="B120" s="8">
        <v>45232.576122685183</v>
      </c>
    </row>
    <row r="121" spans="1:2" x14ac:dyDescent="0.3">
      <c r="A121" t="s">
        <v>649</v>
      </c>
      <c r="B121" s="8">
        <v>45649</v>
      </c>
    </row>
    <row r="122" spans="1:2" x14ac:dyDescent="0.3">
      <c r="A122" t="s">
        <v>762</v>
      </c>
      <c r="B122" s="8">
        <v>45151.427499999998</v>
      </c>
    </row>
    <row r="123" spans="1:2" x14ac:dyDescent="0.3">
      <c r="A123" t="s">
        <v>662</v>
      </c>
      <c r="B123" s="8">
        <v>45710.396064814813</v>
      </c>
    </row>
    <row r="124" spans="1:2" x14ac:dyDescent="0.3">
      <c r="A124" t="s">
        <v>671</v>
      </c>
      <c r="B124" s="8">
        <v>45751.516053240739</v>
      </c>
    </row>
    <row r="125" spans="1:2" x14ac:dyDescent="0.3">
      <c r="A125" t="s">
        <v>763</v>
      </c>
      <c r="B125" s="8">
        <v>45675.912615740737</v>
      </c>
    </row>
    <row r="126" spans="1:2" x14ac:dyDescent="0.3">
      <c r="A126" t="s">
        <v>660</v>
      </c>
      <c r="B126" s="8">
        <v>45837.660173611112</v>
      </c>
    </row>
    <row r="127" spans="1:2" x14ac:dyDescent="0.3">
      <c r="A127" t="s">
        <v>764</v>
      </c>
      <c r="B127" s="8">
        <v>45141.625</v>
      </c>
    </row>
    <row r="128" spans="1:2" x14ac:dyDescent="0.3">
      <c r="A128" t="s">
        <v>677</v>
      </c>
      <c r="B128" s="8">
        <v>45657.587905092594</v>
      </c>
    </row>
    <row r="129" spans="1:2" x14ac:dyDescent="0.3">
      <c r="A129" t="s">
        <v>627</v>
      </c>
      <c r="B129" s="8">
        <v>45751.643692129626</v>
      </c>
    </row>
    <row r="130" spans="1:2" x14ac:dyDescent="0.3">
      <c r="A130" t="s">
        <v>633</v>
      </c>
      <c r="B130" s="8">
        <v>45717.561261574076</v>
      </c>
    </row>
    <row r="131" spans="1:2" x14ac:dyDescent="0.3">
      <c r="A131" t="s">
        <v>629</v>
      </c>
      <c r="B131" s="8">
        <v>45709.423483796294</v>
      </c>
    </row>
    <row r="132" spans="1:2" x14ac:dyDescent="0.3">
      <c r="A132" t="s">
        <v>765</v>
      </c>
      <c r="B132" s="8">
        <v>45323</v>
      </c>
    </row>
    <row r="133" spans="1:2" x14ac:dyDescent="0.3">
      <c r="A133" t="s">
        <v>664</v>
      </c>
      <c r="B133" s="8">
        <v>45684.666458333333</v>
      </c>
    </row>
    <row r="134" spans="1:2" x14ac:dyDescent="0.3">
      <c r="A134" t="s">
        <v>766</v>
      </c>
      <c r="B134" s="8">
        <v>45463.416585648149</v>
      </c>
    </row>
    <row r="135" spans="1:2" x14ac:dyDescent="0.3">
      <c r="A135" t="s">
        <v>686</v>
      </c>
      <c r="B135" s="8">
        <v>45505.385671296295</v>
      </c>
    </row>
    <row r="136" spans="1:2" x14ac:dyDescent="0.3">
      <c r="A136" t="s">
        <v>640</v>
      </c>
      <c r="B136" s="8">
        <v>45829.619409722225</v>
      </c>
    </row>
    <row r="137" spans="1:2" x14ac:dyDescent="0.3">
      <c r="A137" t="s">
        <v>674</v>
      </c>
      <c r="B137" s="8">
        <v>45777.437893518516</v>
      </c>
    </row>
    <row r="138" spans="1:2" x14ac:dyDescent="0.3">
      <c r="A138" t="s">
        <v>647</v>
      </c>
      <c r="B138" s="8">
        <v>45848.388784722221</v>
      </c>
    </row>
    <row r="139" spans="1:2" x14ac:dyDescent="0.3">
      <c r="A139" t="s">
        <v>652</v>
      </c>
      <c r="B139" s="8">
        <v>45713.408946759257</v>
      </c>
    </row>
    <row r="140" spans="1:2" x14ac:dyDescent="0.3">
      <c r="A140" t="s">
        <v>678</v>
      </c>
      <c r="B140" s="8">
        <v>45793.433275462965</v>
      </c>
    </row>
    <row r="141" spans="1:2" x14ac:dyDescent="0.3">
      <c r="A141" t="s">
        <v>767</v>
      </c>
      <c r="B141" s="8">
        <v>45321.64534722222</v>
      </c>
    </row>
    <row r="142" spans="1:2" x14ac:dyDescent="0.3">
      <c r="A142" t="s">
        <v>768</v>
      </c>
      <c r="B142" s="8">
        <v>45573.794490740744</v>
      </c>
    </row>
    <row r="143" spans="1:2" x14ac:dyDescent="0.3">
      <c r="A143" t="s">
        <v>769</v>
      </c>
      <c r="B143" s="8">
        <v>45246.581203703703</v>
      </c>
    </row>
    <row r="144" spans="1:2" x14ac:dyDescent="0.3">
      <c r="A144" t="s">
        <v>650</v>
      </c>
      <c r="B144" s="8">
        <v>45763.86923611111</v>
      </c>
    </row>
    <row r="145" spans="1:2" x14ac:dyDescent="0.3">
      <c r="A145" t="s">
        <v>770</v>
      </c>
      <c r="B145" s="8">
        <v>45647</v>
      </c>
    </row>
    <row r="146" spans="1:2" x14ac:dyDescent="0.3">
      <c r="A146" t="s">
        <v>657</v>
      </c>
      <c r="B146" s="8">
        <v>45707.436122685183</v>
      </c>
    </row>
    <row r="147" spans="1:2" x14ac:dyDescent="0.3">
      <c r="A147" t="s">
        <v>691</v>
      </c>
      <c r="B147" s="8">
        <v>45671.646087962959</v>
      </c>
    </row>
    <row r="148" spans="1:2" x14ac:dyDescent="0.3">
      <c r="A148" t="s">
        <v>771</v>
      </c>
      <c r="B148" s="8">
        <v>45244.511793981481</v>
      </c>
    </row>
    <row r="149" spans="1:2" x14ac:dyDescent="0.3">
      <c r="A149" t="s">
        <v>692</v>
      </c>
      <c r="B149" s="8">
        <v>45641</v>
      </c>
    </row>
    <row r="150" spans="1:2" x14ac:dyDescent="0.3">
      <c r="A150" t="s">
        <v>619</v>
      </c>
      <c r="B150" s="8">
        <v>45674</v>
      </c>
    </row>
    <row r="151" spans="1:2" x14ac:dyDescent="0.3">
      <c r="A151" t="s">
        <v>772</v>
      </c>
      <c r="B151" s="8">
        <v>45532.706041666665</v>
      </c>
    </row>
    <row r="152" spans="1:2" x14ac:dyDescent="0.3">
      <c r="A152" t="s">
        <v>773</v>
      </c>
      <c r="B152" s="8">
        <v>45763.444675925923</v>
      </c>
    </row>
    <row r="153" spans="1:2" x14ac:dyDescent="0.3">
      <c r="A153" t="s">
        <v>651</v>
      </c>
      <c r="B153" s="8">
        <v>45576.580300925925</v>
      </c>
    </row>
    <row r="154" spans="1:2" x14ac:dyDescent="0.3">
      <c r="A154" t="s">
        <v>644</v>
      </c>
      <c r="B154" s="8">
        <v>45609.791180555556</v>
      </c>
    </row>
    <row r="155" spans="1:2" x14ac:dyDescent="0.3">
      <c r="A155" t="s">
        <v>774</v>
      </c>
      <c r="B155" s="8">
        <v>45534.788229166668</v>
      </c>
    </row>
    <row r="156" spans="1:2" x14ac:dyDescent="0.3">
      <c r="A156" t="s">
        <v>775</v>
      </c>
      <c r="B156" s="8">
        <v>45374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Dev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Long Phat Trinh</cp:lastModifiedBy>
  <dcterms:created xsi:type="dcterms:W3CDTF">2025-10-21T09:02:11Z</dcterms:created>
  <dcterms:modified xsi:type="dcterms:W3CDTF">2025-10-30T08:03:59Z</dcterms:modified>
</cp:coreProperties>
</file>